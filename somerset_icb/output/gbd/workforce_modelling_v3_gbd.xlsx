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outhwestacademichealthscie-my.sharepoint.com/personal/richard_blackwell_healthinnovationsouthwest_com/Documents/Workspace/somerset_workforce_modelling/somerset_icb/workforce_model/"/>
    </mc:Choice>
  </mc:AlternateContent>
  <xr:revisionPtr revIDLastSave="44" documentId="8_{6E9068C0-2369-41D1-874E-8B269CE37C93}" xr6:coauthVersionLast="47" xr6:coauthVersionMax="47" xr10:uidLastSave="{885FA05B-8403-42A6-B0AB-CC4920E9B3ED}"/>
  <bookViews>
    <workbookView xWindow="-120" yWindow="-120" windowWidth="29040" windowHeight="15720" firstSheet="8" activeTab="11" xr2:uid="{56F4682D-8AB4-4DBA-AF7F-AC3A49209941}"/>
  </bookViews>
  <sheets>
    <sheet name="INPUT | WORKFORCE" sheetId="1" r:id="rId1"/>
    <sheet name="INPUT | POPULATION" sheetId="2" r:id="rId2"/>
    <sheet name="INPUT | SEGMENTATION" sheetId="3" r:id="rId3"/>
    <sheet name="CALC | TASK STD" sheetId="10" r:id="rId4"/>
    <sheet name="INPUT | BLINE | TASKS" sheetId="4" r:id="rId5"/>
    <sheet name="INPUT | FCAST | TASKS" sheetId="5" r:id="rId6"/>
    <sheet name="CALC | BLINE | HOURS" sheetId="11" r:id="rId7"/>
    <sheet name="CALC | FCAST | HOURS" sheetId="12" r:id="rId8"/>
    <sheet name="OUTPUT | BLINE | HR PER PT" sheetId="6" r:id="rId9"/>
    <sheet name="OUTPUT | FCAST | HR PER PT" sheetId="7" r:id="rId10"/>
    <sheet name="OUTPUT | DIFF | ADD HOURS" sheetId="8" r:id="rId11"/>
    <sheet name="OUTPUT | DIFF | ADD FTE" sheetId="9" r:id="rId12"/>
  </sheets>
  <definedNames>
    <definedName name="_xlnm._FilterDatabase" localSheetId="0" hidden="1">'INPUT | WORKFORCE'!$B$2:$E$117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 i="12" l="1"/>
  <c r="Q30" i="12"/>
  <c r="P30" i="12"/>
  <c r="O30" i="12"/>
  <c r="N30" i="12"/>
  <c r="M30" i="12"/>
  <c r="L30" i="12"/>
  <c r="Q30" i="11"/>
  <c r="P30" i="11"/>
  <c r="O30" i="11"/>
  <c r="N30" i="11"/>
  <c r="M30" i="11"/>
  <c r="L30" i="11"/>
  <c r="Q31" i="12"/>
  <c r="Q32" i="12" s="1"/>
  <c r="P31" i="12"/>
  <c r="P32" i="12" s="1"/>
  <c r="O31" i="12"/>
  <c r="O32" i="12" s="1"/>
  <c r="N31" i="12"/>
  <c r="N32" i="12" s="1"/>
  <c r="M31" i="12"/>
  <c r="M32" i="12" s="1"/>
  <c r="L31" i="12"/>
  <c r="L32" i="12" s="1"/>
  <c r="R32" i="12" l="1"/>
  <c r="R31" i="12"/>
  <c r="C30" i="12"/>
  <c r="C20" i="12" s="1"/>
  <c r="C31" i="12"/>
  <c r="L20" i="12" s="1"/>
  <c r="C28" i="12"/>
  <c r="C10" i="12" s="1"/>
  <c r="C29" i="12"/>
  <c r="L10" i="12" s="1"/>
  <c r="D30" i="12"/>
  <c r="D20" i="12" s="1"/>
  <c r="D31" i="12"/>
  <c r="M20" i="12" s="1"/>
  <c r="D28" i="12"/>
  <c r="D29" i="12"/>
  <c r="M10" i="12" s="1"/>
  <c r="E31" i="12"/>
  <c r="N20" i="12" s="1"/>
  <c r="E28" i="12"/>
  <c r="E30" i="12"/>
  <c r="E20" i="12" s="1"/>
  <c r="E29" i="12"/>
  <c r="N10" i="12" s="1"/>
  <c r="F31" i="12"/>
  <c r="O20" i="12" s="1"/>
  <c r="F28" i="12"/>
  <c r="F30" i="12"/>
  <c r="F20" i="12" s="1"/>
  <c r="F29" i="12"/>
  <c r="O10" i="12" s="1"/>
  <c r="G31" i="12"/>
  <c r="P20" i="12" s="1"/>
  <c r="G28" i="12"/>
  <c r="G30" i="12"/>
  <c r="G20" i="12" s="1"/>
  <c r="G29" i="12"/>
  <c r="P10" i="12" s="1"/>
  <c r="H31" i="12"/>
  <c r="Q20" i="12" s="1"/>
  <c r="H29" i="12"/>
  <c r="Q10" i="12" s="1"/>
  <c r="H28" i="12"/>
  <c r="H30" i="12"/>
  <c r="H20" i="12" s="1"/>
  <c r="P8" i="12" l="1"/>
  <c r="P6" i="12"/>
  <c r="P9" i="12"/>
  <c r="P7" i="12"/>
  <c r="O8" i="12"/>
  <c r="O6" i="12"/>
  <c r="O9" i="12"/>
  <c r="O7" i="12"/>
  <c r="Q8" i="12"/>
  <c r="Q9" i="12"/>
  <c r="Q6" i="12"/>
  <c r="Q7" i="12"/>
  <c r="Q16" i="12"/>
  <c r="Q17" i="12"/>
  <c r="Q18" i="12"/>
  <c r="Q19" i="12"/>
  <c r="P16" i="12"/>
  <c r="P17" i="12"/>
  <c r="P18" i="12"/>
  <c r="P19" i="12"/>
  <c r="O18" i="12"/>
  <c r="O17" i="12"/>
  <c r="O16" i="12"/>
  <c r="O19" i="12"/>
  <c r="N8" i="12"/>
  <c r="N6" i="12"/>
  <c r="N9" i="12"/>
  <c r="N7" i="12"/>
  <c r="R10" i="12"/>
  <c r="N18" i="12"/>
  <c r="N16" i="12"/>
  <c r="N19" i="12"/>
  <c r="N17" i="12"/>
  <c r="C9" i="12"/>
  <c r="C7" i="12"/>
  <c r="C8" i="12"/>
  <c r="C6" i="12"/>
  <c r="G18" i="12"/>
  <c r="G16" i="12"/>
  <c r="G19" i="12"/>
  <c r="G17" i="12"/>
  <c r="M18" i="12"/>
  <c r="M16" i="12"/>
  <c r="M19" i="12"/>
  <c r="M17" i="12"/>
  <c r="L18" i="12"/>
  <c r="L16" i="12"/>
  <c r="L19" i="12"/>
  <c r="L17" i="12"/>
  <c r="D19" i="12"/>
  <c r="D16" i="12"/>
  <c r="D18" i="12"/>
  <c r="D17" i="12"/>
  <c r="C16" i="12"/>
  <c r="C17" i="12"/>
  <c r="C19" i="12"/>
  <c r="C18" i="12"/>
  <c r="F18" i="12"/>
  <c r="F16" i="12"/>
  <c r="F17" i="12"/>
  <c r="F19" i="12"/>
  <c r="E18" i="12"/>
  <c r="E17" i="12"/>
  <c r="E16" i="12"/>
  <c r="E19" i="12"/>
  <c r="M7" i="12"/>
  <c r="M6" i="12"/>
  <c r="M8" i="12"/>
  <c r="M9" i="12"/>
  <c r="H18" i="12"/>
  <c r="H16" i="12"/>
  <c r="H19" i="12"/>
  <c r="H17" i="12"/>
  <c r="L7" i="12"/>
  <c r="L8" i="12"/>
  <c r="L6" i="12"/>
  <c r="L9" i="12"/>
  <c r="D32" i="12"/>
  <c r="D10" i="12"/>
  <c r="R20" i="12"/>
  <c r="I20" i="12"/>
  <c r="C32" i="12"/>
  <c r="U10" i="12"/>
  <c r="F32" i="12"/>
  <c r="F10" i="12"/>
  <c r="G32" i="12"/>
  <c r="G10" i="12"/>
  <c r="E32" i="12"/>
  <c r="E10" i="12"/>
  <c r="H32" i="12"/>
  <c r="H10" i="12"/>
  <c r="I16" i="12" l="1"/>
  <c r="R9" i="12"/>
  <c r="R8" i="12"/>
  <c r="R7" i="12"/>
  <c r="I19" i="12"/>
  <c r="R6" i="12"/>
  <c r="F7" i="12"/>
  <c r="X7" i="12" s="1"/>
  <c r="F8" i="12"/>
  <c r="X8" i="12" s="1"/>
  <c r="F9" i="12"/>
  <c r="X9" i="12" s="1"/>
  <c r="F6" i="12"/>
  <c r="X6" i="12" s="1"/>
  <c r="H9" i="12"/>
  <c r="Z9" i="12" s="1"/>
  <c r="H7" i="12"/>
  <c r="Z7" i="12" s="1"/>
  <c r="H8" i="12"/>
  <c r="Z8" i="12" s="1"/>
  <c r="H6" i="12"/>
  <c r="Z6" i="12" s="1"/>
  <c r="D9" i="12"/>
  <c r="V9" i="12" s="1"/>
  <c r="D8" i="12"/>
  <c r="V8" i="12" s="1"/>
  <c r="D7" i="12"/>
  <c r="V7" i="12" s="1"/>
  <c r="D6" i="12"/>
  <c r="V6" i="12" s="1"/>
  <c r="E7" i="12"/>
  <c r="W7" i="12" s="1"/>
  <c r="E8" i="12"/>
  <c r="W8" i="12" s="1"/>
  <c r="E9" i="12"/>
  <c r="W9" i="12" s="1"/>
  <c r="E6" i="12"/>
  <c r="W6" i="12" s="1"/>
  <c r="G8" i="12"/>
  <c r="Y8" i="12" s="1"/>
  <c r="G6" i="12"/>
  <c r="Y6" i="12" s="1"/>
  <c r="G9" i="12"/>
  <c r="Y9" i="12" s="1"/>
  <c r="G7" i="12"/>
  <c r="Y7" i="12" s="1"/>
  <c r="W10" i="12"/>
  <c r="R19" i="12"/>
  <c r="R16" i="12"/>
  <c r="R18" i="12"/>
  <c r="X10" i="12"/>
  <c r="R17" i="12"/>
  <c r="U9" i="12"/>
  <c r="U6" i="12"/>
  <c r="Y10" i="12"/>
  <c r="U7" i="12"/>
  <c r="Z10" i="12"/>
  <c r="U8" i="12"/>
  <c r="I10" i="12"/>
  <c r="AA10" i="12" s="1"/>
  <c r="V10" i="12"/>
  <c r="I17" i="12"/>
  <c r="I18" i="12"/>
  <c r="I6" i="12" l="1"/>
  <c r="AA6" i="12" s="1"/>
  <c r="I9" i="12"/>
  <c r="AA9" i="12" s="1"/>
  <c r="I8" i="12"/>
  <c r="AA8" i="12" s="1"/>
  <c r="I7" i="12"/>
  <c r="AA7" i="12" s="1"/>
  <c r="P31" i="11" l="1"/>
  <c r="P32" i="11" s="1"/>
  <c r="O31" i="11"/>
  <c r="O32" i="11" s="1"/>
  <c r="N31" i="11"/>
  <c r="N32" i="11" s="1"/>
  <c r="M31" i="11"/>
  <c r="M32" i="11" s="1"/>
  <c r="L31" i="11"/>
  <c r="L32" i="11" s="1"/>
  <c r="Q31" i="11"/>
  <c r="Q32" i="11" s="1"/>
  <c r="H32" i="4"/>
  <c r="G32" i="4"/>
  <c r="F32" i="4"/>
  <c r="E32" i="4"/>
  <c r="D32" i="4"/>
  <c r="C32" i="4"/>
  <c r="Q30" i="4"/>
  <c r="P30" i="4"/>
  <c r="O30" i="4"/>
  <c r="N30" i="4"/>
  <c r="M30" i="4"/>
  <c r="L30" i="4"/>
  <c r="R18" i="4"/>
  <c r="Q18" i="4"/>
  <c r="P18" i="4"/>
  <c r="O18" i="4"/>
  <c r="I17" i="4"/>
  <c r="H17" i="4"/>
  <c r="G17" i="4"/>
  <c r="F17" i="4"/>
  <c r="E17" i="4"/>
  <c r="G16" i="4"/>
  <c r="F16" i="4"/>
  <c r="AA9" i="4"/>
  <c r="Z9" i="4"/>
  <c r="Y9" i="4"/>
  <c r="G19" i="4" s="1"/>
  <c r="X9" i="4"/>
  <c r="F19" i="4" s="1"/>
  <c r="W9" i="4"/>
  <c r="E19" i="4" s="1"/>
  <c r="V9" i="4"/>
  <c r="D19" i="4" s="1"/>
  <c r="U9" i="4"/>
  <c r="C9" i="4" s="1"/>
  <c r="AA8" i="4"/>
  <c r="Z8" i="4"/>
  <c r="Y8" i="4"/>
  <c r="X8" i="4"/>
  <c r="W8" i="4"/>
  <c r="V8" i="4"/>
  <c r="U8" i="4"/>
  <c r="R8" i="4"/>
  <c r="E8" i="4"/>
  <c r="D8" i="4"/>
  <c r="C8" i="4"/>
  <c r="AA7" i="4"/>
  <c r="AA10" i="4" s="1"/>
  <c r="Z7" i="4"/>
  <c r="H7" i="4" s="1"/>
  <c r="Y7" i="4"/>
  <c r="Y10" i="4" s="1"/>
  <c r="X7" i="4"/>
  <c r="X10" i="4" s="1"/>
  <c r="W7" i="4"/>
  <c r="W10" i="4" s="1"/>
  <c r="V7" i="4"/>
  <c r="V10" i="4" s="1"/>
  <c r="U7" i="4"/>
  <c r="C7" i="4" s="1"/>
  <c r="R7" i="4"/>
  <c r="AA6" i="4"/>
  <c r="Z6" i="4"/>
  <c r="Y6" i="4"/>
  <c r="X6" i="4"/>
  <c r="W6" i="4"/>
  <c r="V6" i="4"/>
  <c r="U6" i="4"/>
  <c r="R6" i="4"/>
  <c r="Q6" i="4"/>
  <c r="P6" i="4"/>
  <c r="C6" i="4"/>
  <c r="Q30" i="5"/>
  <c r="P30" i="5"/>
  <c r="O30" i="5"/>
  <c r="N30" i="5"/>
  <c r="M30" i="5"/>
  <c r="L30" i="5"/>
  <c r="H32" i="5"/>
  <c r="G32" i="5"/>
  <c r="F32" i="5"/>
  <c r="E32" i="5"/>
  <c r="D32" i="5"/>
  <c r="C32" i="5"/>
  <c r="AA9" i="5"/>
  <c r="Z9" i="5"/>
  <c r="Y9" i="5"/>
  <c r="X9" i="5"/>
  <c r="F19" i="5" s="1"/>
  <c r="W9" i="5"/>
  <c r="E19" i="5" s="1"/>
  <c r="V9" i="5"/>
  <c r="U9" i="5"/>
  <c r="AA8" i="5"/>
  <c r="R8" i="5" s="1"/>
  <c r="Z8" i="5"/>
  <c r="Y8" i="5"/>
  <c r="X8" i="5"/>
  <c r="W8" i="5"/>
  <c r="V8" i="5"/>
  <c r="U8" i="5"/>
  <c r="AA7" i="5"/>
  <c r="Z7" i="5"/>
  <c r="Y7" i="5"/>
  <c r="X7" i="5"/>
  <c r="W7" i="5"/>
  <c r="V7" i="5"/>
  <c r="U7" i="5"/>
  <c r="L17" i="5" s="1"/>
  <c r="AA6" i="5"/>
  <c r="R16" i="5" s="1"/>
  <c r="Z6" i="5"/>
  <c r="Q16" i="5" s="1"/>
  <c r="Y6" i="5"/>
  <c r="P6" i="5" s="1"/>
  <c r="X6" i="5"/>
  <c r="W6" i="5"/>
  <c r="V6" i="5"/>
  <c r="D16" i="5" s="1"/>
  <c r="U6" i="5"/>
  <c r="C16" i="5" s="1"/>
  <c r="R6" i="5"/>
  <c r="Q6" i="5"/>
  <c r="H23" i="10"/>
  <c r="G23" i="10"/>
  <c r="F23" i="10"/>
  <c r="E23" i="10"/>
  <c r="D23" i="10"/>
  <c r="H22" i="10"/>
  <c r="G22" i="10"/>
  <c r="F22" i="10"/>
  <c r="E22" i="10"/>
  <c r="D22" i="10"/>
  <c r="H21" i="10"/>
  <c r="G21" i="10"/>
  <c r="F21" i="10"/>
  <c r="E21" i="10"/>
  <c r="D21" i="10"/>
  <c r="H20" i="10"/>
  <c r="G20" i="10"/>
  <c r="F20" i="10"/>
  <c r="E20" i="10"/>
  <c r="D20" i="10"/>
  <c r="C23" i="10"/>
  <c r="I23" i="10" s="1"/>
  <c r="C22" i="10"/>
  <c r="I22" i="10" s="1"/>
  <c r="C21" i="10"/>
  <c r="C20" i="10"/>
  <c r="F11" i="3"/>
  <c r="F10" i="3"/>
  <c r="F9" i="3"/>
  <c r="F8" i="3"/>
  <c r="E11" i="3"/>
  <c r="E10" i="3"/>
  <c r="E9" i="3"/>
  <c r="E8" i="3"/>
  <c r="H28" i="11" l="1"/>
  <c r="H29" i="11"/>
  <c r="Q10" i="11" s="1"/>
  <c r="H31" i="11"/>
  <c r="Q20" i="11" s="1"/>
  <c r="H30" i="11"/>
  <c r="H20" i="11" s="1"/>
  <c r="G31" i="11"/>
  <c r="P20" i="11" s="1"/>
  <c r="G28" i="11"/>
  <c r="G29" i="11"/>
  <c r="P10" i="11" s="1"/>
  <c r="G30" i="11"/>
  <c r="G20" i="11" s="1"/>
  <c r="C28" i="11"/>
  <c r="C31" i="11"/>
  <c r="L20" i="11" s="1"/>
  <c r="C30" i="11"/>
  <c r="C20" i="11" s="1"/>
  <c r="C29" i="11"/>
  <c r="L10" i="11" s="1"/>
  <c r="E31" i="11"/>
  <c r="N20" i="11" s="1"/>
  <c r="E28" i="11"/>
  <c r="E30" i="11"/>
  <c r="E20" i="11" s="1"/>
  <c r="E29" i="11"/>
  <c r="N10" i="11" s="1"/>
  <c r="D30" i="11"/>
  <c r="D20" i="11" s="1"/>
  <c r="D29" i="11"/>
  <c r="D28" i="11"/>
  <c r="D10" i="11" s="1"/>
  <c r="D31" i="11"/>
  <c r="M20" i="11" s="1"/>
  <c r="F31" i="11"/>
  <c r="O20" i="11" s="1"/>
  <c r="F28" i="11"/>
  <c r="F29" i="11"/>
  <c r="O10" i="11" s="1"/>
  <c r="F30" i="11"/>
  <c r="F20" i="11" s="1"/>
  <c r="Q20" i="7"/>
  <c r="P17" i="7"/>
  <c r="P20" i="7"/>
  <c r="O17" i="7"/>
  <c r="O20" i="7"/>
  <c r="N17" i="7"/>
  <c r="L20" i="7"/>
  <c r="R16" i="7"/>
  <c r="O16" i="7"/>
  <c r="M17" i="7"/>
  <c r="R19" i="7"/>
  <c r="Q16" i="7"/>
  <c r="Q19" i="7"/>
  <c r="P19" i="7"/>
  <c r="N16" i="7"/>
  <c r="N18" i="7"/>
  <c r="P16" i="7"/>
  <c r="L18" i="7"/>
  <c r="L17" i="7"/>
  <c r="O19" i="7"/>
  <c r="R17" i="7"/>
  <c r="R20" i="7"/>
  <c r="M20" i="7"/>
  <c r="N19" i="7"/>
  <c r="M16" i="7"/>
  <c r="Q17" i="7"/>
  <c r="M19" i="7"/>
  <c r="L16" i="7"/>
  <c r="Q18" i="7"/>
  <c r="P18" i="7"/>
  <c r="O18" i="7"/>
  <c r="N20" i="7"/>
  <c r="L19" i="7"/>
  <c r="R18" i="7"/>
  <c r="M18" i="7"/>
  <c r="M8" i="7"/>
  <c r="L8" i="7"/>
  <c r="R7" i="7"/>
  <c r="R10" i="7"/>
  <c r="Q7" i="7"/>
  <c r="Q10" i="7"/>
  <c r="P10" i="7"/>
  <c r="O7" i="7"/>
  <c r="R8" i="7"/>
  <c r="O10" i="7"/>
  <c r="N7" i="7"/>
  <c r="N10" i="7"/>
  <c r="M7" i="7"/>
  <c r="M10" i="7"/>
  <c r="L7" i="7"/>
  <c r="R6" i="7"/>
  <c r="P7" i="7"/>
  <c r="L10" i="7"/>
  <c r="N8" i="7"/>
  <c r="R9" i="7"/>
  <c r="Q6" i="7"/>
  <c r="Q9" i="7"/>
  <c r="P6" i="7"/>
  <c r="P8" i="7"/>
  <c r="N9" i="7"/>
  <c r="M6" i="7"/>
  <c r="M9" i="7"/>
  <c r="L6" i="7"/>
  <c r="O8" i="7"/>
  <c r="P9" i="7"/>
  <c r="O6" i="7"/>
  <c r="O9" i="7"/>
  <c r="N6" i="7"/>
  <c r="L9" i="7"/>
  <c r="Q8" i="7"/>
  <c r="C10" i="7"/>
  <c r="I6" i="7"/>
  <c r="I9" i="7"/>
  <c r="H6" i="7"/>
  <c r="H9" i="7"/>
  <c r="G6" i="7"/>
  <c r="G9" i="7"/>
  <c r="E9" i="7"/>
  <c r="D6" i="7"/>
  <c r="H8" i="7"/>
  <c r="D7" i="7"/>
  <c r="E6" i="7"/>
  <c r="D9" i="7"/>
  <c r="C6" i="7"/>
  <c r="C9" i="7"/>
  <c r="I8" i="7"/>
  <c r="E7" i="7"/>
  <c r="G7" i="7"/>
  <c r="F10" i="7"/>
  <c r="F7" i="7"/>
  <c r="E10" i="7"/>
  <c r="D10" i="7"/>
  <c r="G8" i="7"/>
  <c r="F8" i="7"/>
  <c r="I10" i="7"/>
  <c r="C7" i="7"/>
  <c r="F9" i="7"/>
  <c r="C8" i="7"/>
  <c r="I7" i="7"/>
  <c r="H7" i="7"/>
  <c r="H10" i="7"/>
  <c r="G10" i="7"/>
  <c r="E8" i="7"/>
  <c r="D8" i="7"/>
  <c r="F6" i="7"/>
  <c r="F19" i="7"/>
  <c r="E16" i="7"/>
  <c r="E19" i="7"/>
  <c r="D16" i="7"/>
  <c r="D19" i="7"/>
  <c r="C16" i="7"/>
  <c r="C19" i="7"/>
  <c r="H18" i="7"/>
  <c r="D18" i="7"/>
  <c r="G19" i="7"/>
  <c r="G18" i="7"/>
  <c r="F18" i="7"/>
  <c r="E18" i="7"/>
  <c r="H16" i="7"/>
  <c r="G16" i="7"/>
  <c r="H19" i="7"/>
  <c r="F16" i="7"/>
  <c r="D20" i="7"/>
  <c r="C18" i="7"/>
  <c r="I17" i="7"/>
  <c r="F17" i="7"/>
  <c r="F20" i="7"/>
  <c r="E20" i="7"/>
  <c r="C17" i="7"/>
  <c r="E17" i="7"/>
  <c r="D17" i="7"/>
  <c r="I18" i="7"/>
  <c r="I20" i="7"/>
  <c r="H17" i="7"/>
  <c r="H20" i="7"/>
  <c r="G17" i="7"/>
  <c r="G20" i="7"/>
  <c r="C20" i="7"/>
  <c r="I16" i="7"/>
  <c r="I19" i="7"/>
  <c r="C10" i="4"/>
  <c r="P10" i="4"/>
  <c r="P17" i="4"/>
  <c r="Q17" i="4"/>
  <c r="U10" i="4"/>
  <c r="L6" i="4"/>
  <c r="L16" i="4"/>
  <c r="L18" i="4"/>
  <c r="L8" i="4"/>
  <c r="C18" i="4"/>
  <c r="M6" i="4"/>
  <c r="M16" i="4"/>
  <c r="D6" i="4"/>
  <c r="M18" i="4"/>
  <c r="M8" i="4"/>
  <c r="D18" i="4"/>
  <c r="N6" i="4"/>
  <c r="N16" i="4"/>
  <c r="E6" i="4"/>
  <c r="E10" i="4" s="1"/>
  <c r="N18" i="4"/>
  <c r="N8" i="4"/>
  <c r="E18" i="4"/>
  <c r="O6" i="4"/>
  <c r="O16" i="4"/>
  <c r="F6" i="4"/>
  <c r="O8" i="4"/>
  <c r="F18" i="4"/>
  <c r="F8" i="4"/>
  <c r="Z10" i="4"/>
  <c r="C19" i="4"/>
  <c r="P16" i="4"/>
  <c r="P20" i="4" s="1"/>
  <c r="G6" i="4"/>
  <c r="P8" i="4"/>
  <c r="G18" i="4"/>
  <c r="G20" i="4" s="1"/>
  <c r="G8" i="4"/>
  <c r="Q16" i="4"/>
  <c r="Q20" i="4" s="1"/>
  <c r="H6" i="4"/>
  <c r="H16" i="4"/>
  <c r="Q8" i="4"/>
  <c r="H18" i="4"/>
  <c r="H8" i="4"/>
  <c r="C16" i="4"/>
  <c r="C20" i="4" s="1"/>
  <c r="R16" i="4"/>
  <c r="R20" i="4" s="1"/>
  <c r="I6" i="4"/>
  <c r="I10" i="4" s="1"/>
  <c r="I16" i="4"/>
  <c r="I18" i="4"/>
  <c r="I8" i="4"/>
  <c r="D16" i="4"/>
  <c r="E16" i="4"/>
  <c r="L9" i="4"/>
  <c r="L19" i="4"/>
  <c r="C17" i="4"/>
  <c r="L7" i="4"/>
  <c r="M9" i="4"/>
  <c r="M19" i="4"/>
  <c r="D17" i="4"/>
  <c r="M7" i="4"/>
  <c r="N9" i="4"/>
  <c r="N19" i="4"/>
  <c r="N7" i="4"/>
  <c r="E7" i="4"/>
  <c r="O9" i="4"/>
  <c r="O19" i="4"/>
  <c r="F9" i="4"/>
  <c r="O7" i="4"/>
  <c r="F7" i="4"/>
  <c r="P9" i="4"/>
  <c r="P19" i="4"/>
  <c r="G9" i="4"/>
  <c r="P7" i="4"/>
  <c r="G7" i="4"/>
  <c r="Q9" i="4"/>
  <c r="Q19" i="4"/>
  <c r="H9" i="4"/>
  <c r="L17" i="4"/>
  <c r="R9" i="4"/>
  <c r="R10" i="4" s="1"/>
  <c r="R19" i="4"/>
  <c r="I9" i="4"/>
  <c r="M17" i="4"/>
  <c r="I7" i="4"/>
  <c r="R17" i="4"/>
  <c r="N17" i="4"/>
  <c r="O17" i="4"/>
  <c r="D7" i="4"/>
  <c r="D9" i="4"/>
  <c r="F20" i="4"/>
  <c r="H19" i="4"/>
  <c r="Q7" i="4"/>
  <c r="Q10" i="4" s="1"/>
  <c r="E9" i="4"/>
  <c r="I19" i="4"/>
  <c r="D17" i="5"/>
  <c r="M7" i="5"/>
  <c r="D7" i="5"/>
  <c r="V10" i="5"/>
  <c r="E7" i="5"/>
  <c r="N7" i="5"/>
  <c r="W10" i="5"/>
  <c r="O17" i="5"/>
  <c r="O7" i="5"/>
  <c r="F7" i="5"/>
  <c r="X10" i="5"/>
  <c r="P7" i="5"/>
  <c r="G7" i="5"/>
  <c r="P17" i="5"/>
  <c r="Y10" i="5"/>
  <c r="H7" i="5"/>
  <c r="Q17" i="5"/>
  <c r="Q20" i="5" s="1"/>
  <c r="Z10" i="5"/>
  <c r="I7" i="5"/>
  <c r="R17" i="5"/>
  <c r="R20" i="5" s="1"/>
  <c r="AA10" i="5"/>
  <c r="L18" i="5"/>
  <c r="L8" i="5"/>
  <c r="C18" i="5"/>
  <c r="C8" i="5"/>
  <c r="D18" i="5"/>
  <c r="M18" i="5"/>
  <c r="M8" i="5"/>
  <c r="D8" i="5"/>
  <c r="E17" i="5"/>
  <c r="N18" i="5"/>
  <c r="N8" i="5"/>
  <c r="E18" i="5"/>
  <c r="E8" i="5"/>
  <c r="F17" i="5"/>
  <c r="Q10" i="5"/>
  <c r="O8" i="5"/>
  <c r="F18" i="5"/>
  <c r="F8" i="5"/>
  <c r="G17" i="5"/>
  <c r="R10" i="5"/>
  <c r="P8" i="5"/>
  <c r="G18" i="5"/>
  <c r="G8" i="5"/>
  <c r="H17" i="5"/>
  <c r="U10" i="5"/>
  <c r="L6" i="5"/>
  <c r="L16" i="5"/>
  <c r="C6" i="5"/>
  <c r="Q8" i="5"/>
  <c r="H18" i="5"/>
  <c r="H8" i="5"/>
  <c r="I17" i="5"/>
  <c r="M6" i="5"/>
  <c r="M10" i="5" s="1"/>
  <c r="M16" i="5"/>
  <c r="M20" i="5" s="1"/>
  <c r="D6" i="5"/>
  <c r="D10" i="5" s="1"/>
  <c r="I18" i="5"/>
  <c r="I8" i="5"/>
  <c r="E16" i="5"/>
  <c r="E20" i="5" s="1"/>
  <c r="N6" i="5"/>
  <c r="N10" i="5" s="1"/>
  <c r="N16" i="5"/>
  <c r="N20" i="5" s="1"/>
  <c r="E6" i="5"/>
  <c r="E10" i="5" s="1"/>
  <c r="L9" i="5"/>
  <c r="L19" i="5"/>
  <c r="C9" i="5"/>
  <c r="M17" i="5"/>
  <c r="O6" i="5"/>
  <c r="O16" i="5"/>
  <c r="F16" i="5"/>
  <c r="F6" i="5"/>
  <c r="M9" i="5"/>
  <c r="M19" i="5"/>
  <c r="D9" i="5"/>
  <c r="N17" i="5"/>
  <c r="P16" i="5"/>
  <c r="G6" i="5"/>
  <c r="G16" i="5"/>
  <c r="N9" i="5"/>
  <c r="N19" i="5"/>
  <c r="E9" i="5"/>
  <c r="O18" i="5"/>
  <c r="F9" i="5"/>
  <c r="O9" i="5"/>
  <c r="O19" i="5"/>
  <c r="P18" i="5"/>
  <c r="P19" i="5"/>
  <c r="P9" i="5"/>
  <c r="G9" i="5"/>
  <c r="G19" i="5"/>
  <c r="Q18" i="5"/>
  <c r="Q7" i="5"/>
  <c r="Q9" i="5"/>
  <c r="Q19" i="5"/>
  <c r="H9" i="5"/>
  <c r="H19" i="5"/>
  <c r="R18" i="5"/>
  <c r="R7" i="5"/>
  <c r="R9" i="5"/>
  <c r="I9" i="5"/>
  <c r="R19" i="5"/>
  <c r="I19" i="5"/>
  <c r="C19" i="5"/>
  <c r="C7" i="5"/>
  <c r="C17" i="5"/>
  <c r="C20" i="5" s="1"/>
  <c r="L7" i="5"/>
  <c r="D19" i="5"/>
  <c r="H16" i="5"/>
  <c r="I16" i="5"/>
  <c r="H6" i="5"/>
  <c r="I6" i="5"/>
  <c r="I20" i="10"/>
  <c r="I21" i="10"/>
  <c r="E24" i="10"/>
  <c r="N6" i="10" s="1"/>
  <c r="C24" i="10"/>
  <c r="L7" i="10" s="1"/>
  <c r="F24" i="10"/>
  <c r="O8" i="10" s="1"/>
  <c r="G24" i="10"/>
  <c r="P7" i="10" s="1"/>
  <c r="D24" i="10"/>
  <c r="M6" i="10" s="1"/>
  <c r="H24" i="10"/>
  <c r="Q6" i="10" s="1"/>
  <c r="I11" i="3"/>
  <c r="I9" i="3"/>
  <c r="E12" i="3"/>
  <c r="G8" i="3" s="1"/>
  <c r="F12" i="3"/>
  <c r="I10" i="3"/>
  <c r="I8" i="3"/>
  <c r="Q19" i="11" l="1"/>
  <c r="Q19" i="6" s="1"/>
  <c r="Q16" i="11"/>
  <c r="Q16" i="6" s="1"/>
  <c r="Q18" i="11"/>
  <c r="Q18" i="6" s="1"/>
  <c r="Q17" i="11"/>
  <c r="Q17" i="6" s="1"/>
  <c r="Q20" i="6"/>
  <c r="O20" i="6"/>
  <c r="O16" i="11"/>
  <c r="O16" i="6" s="1"/>
  <c r="O19" i="11"/>
  <c r="O19" i="6" s="1"/>
  <c r="O17" i="11"/>
  <c r="O17" i="6" s="1"/>
  <c r="O18" i="11"/>
  <c r="O18" i="6" s="1"/>
  <c r="M20" i="6"/>
  <c r="M16" i="11"/>
  <c r="M16" i="6" s="1"/>
  <c r="M19" i="11"/>
  <c r="M19" i="6" s="1"/>
  <c r="M17" i="11"/>
  <c r="M17" i="6" s="1"/>
  <c r="M18" i="11"/>
  <c r="M18" i="6" s="1"/>
  <c r="D10" i="6"/>
  <c r="D9" i="11"/>
  <c r="D8" i="11"/>
  <c r="D7" i="11"/>
  <c r="D6" i="11"/>
  <c r="D32" i="11"/>
  <c r="M10" i="11"/>
  <c r="D20" i="6"/>
  <c r="D19" i="11"/>
  <c r="D19" i="6" s="1"/>
  <c r="D18" i="11"/>
  <c r="D18" i="6" s="1"/>
  <c r="D17" i="11"/>
  <c r="D17" i="6" s="1"/>
  <c r="D16" i="11"/>
  <c r="D16" i="6" s="1"/>
  <c r="N6" i="11"/>
  <c r="N6" i="6" s="1"/>
  <c r="N10" i="6"/>
  <c r="N7" i="11"/>
  <c r="N7" i="6" s="1"/>
  <c r="N9" i="11"/>
  <c r="N9" i="6" s="1"/>
  <c r="N8" i="11"/>
  <c r="N8" i="6" s="1"/>
  <c r="E32" i="11"/>
  <c r="E10" i="11"/>
  <c r="N20" i="6"/>
  <c r="N16" i="11"/>
  <c r="N16" i="6" s="1"/>
  <c r="N19" i="11"/>
  <c r="N19" i="6" s="1"/>
  <c r="N17" i="11"/>
  <c r="N17" i="6" s="1"/>
  <c r="N17" i="8" s="1"/>
  <c r="N17" i="9" s="1"/>
  <c r="N18" i="11"/>
  <c r="N18" i="6" s="1"/>
  <c r="N18" i="8" s="1"/>
  <c r="N18" i="9" s="1"/>
  <c r="L7" i="11"/>
  <c r="L7" i="6" s="1"/>
  <c r="L10" i="6"/>
  <c r="L10" i="8" s="1"/>
  <c r="L10" i="9" s="1"/>
  <c r="L6" i="11"/>
  <c r="L9" i="11"/>
  <c r="L9" i="6" s="1"/>
  <c r="L8" i="11"/>
  <c r="R20" i="11"/>
  <c r="R20" i="6" s="1"/>
  <c r="L20" i="6"/>
  <c r="L16" i="11"/>
  <c r="L19" i="11"/>
  <c r="L17" i="11"/>
  <c r="L18" i="11"/>
  <c r="G16" i="11"/>
  <c r="G16" i="6" s="1"/>
  <c r="G19" i="11"/>
  <c r="G20" i="6"/>
  <c r="G20" i="8" s="1"/>
  <c r="G20" i="9" s="1"/>
  <c r="G18" i="11"/>
  <c r="G18" i="6" s="1"/>
  <c r="G17" i="11"/>
  <c r="G17" i="6" s="1"/>
  <c r="P10" i="6"/>
  <c r="P9" i="11"/>
  <c r="P9" i="6" s="1"/>
  <c r="P6" i="11"/>
  <c r="P6" i="6" s="1"/>
  <c r="P7" i="11"/>
  <c r="P7" i="6" s="1"/>
  <c r="P8" i="11"/>
  <c r="P8" i="6" s="1"/>
  <c r="D10" i="8"/>
  <c r="D10" i="9" s="1"/>
  <c r="P16" i="11"/>
  <c r="P16" i="6" s="1"/>
  <c r="P20" i="6"/>
  <c r="P19" i="11"/>
  <c r="P19" i="6" s="1"/>
  <c r="P18" i="11"/>
  <c r="P18" i="6" s="1"/>
  <c r="P17" i="11"/>
  <c r="P17" i="6" s="1"/>
  <c r="F16" i="11"/>
  <c r="F16" i="6" s="1"/>
  <c r="F20" i="6"/>
  <c r="F19" i="11"/>
  <c r="F19" i="6" s="1"/>
  <c r="F18" i="11"/>
  <c r="F18" i="6" s="1"/>
  <c r="F17" i="11"/>
  <c r="F17" i="6" s="1"/>
  <c r="Q10" i="6"/>
  <c r="Q8" i="11"/>
  <c r="Q8" i="6" s="1"/>
  <c r="Q9" i="11"/>
  <c r="Q6" i="11"/>
  <c r="Q6" i="6" s="1"/>
  <c r="Q7" i="11"/>
  <c r="F32" i="11"/>
  <c r="F10" i="11"/>
  <c r="E20" i="6"/>
  <c r="E19" i="11"/>
  <c r="E19" i="6" s="1"/>
  <c r="E18" i="11"/>
  <c r="E18" i="6" s="1"/>
  <c r="E17" i="11"/>
  <c r="E17" i="6" s="1"/>
  <c r="E17" i="8" s="1"/>
  <c r="E17" i="9" s="1"/>
  <c r="E16" i="11"/>
  <c r="E16" i="6" s="1"/>
  <c r="C20" i="6"/>
  <c r="C16" i="11"/>
  <c r="C19" i="11"/>
  <c r="C19" i="6" s="1"/>
  <c r="I20" i="11"/>
  <c r="I20" i="6" s="1"/>
  <c r="C18" i="11"/>
  <c r="C17" i="11"/>
  <c r="C10" i="11"/>
  <c r="C32" i="11"/>
  <c r="G32" i="11"/>
  <c r="G10" i="11"/>
  <c r="H16" i="11"/>
  <c r="H16" i="6" s="1"/>
  <c r="H19" i="11"/>
  <c r="H19" i="6" s="1"/>
  <c r="H18" i="11"/>
  <c r="H18" i="6" s="1"/>
  <c r="H18" i="8" s="1"/>
  <c r="H18" i="9" s="1"/>
  <c r="H17" i="11"/>
  <c r="H17" i="6" s="1"/>
  <c r="H20" i="6"/>
  <c r="O10" i="6"/>
  <c r="O6" i="11"/>
  <c r="O6" i="6" s="1"/>
  <c r="O9" i="11"/>
  <c r="O9" i="6" s="1"/>
  <c r="O8" i="11"/>
  <c r="O8" i="6" s="1"/>
  <c r="O8" i="8" s="1"/>
  <c r="O8" i="9" s="1"/>
  <c r="O7" i="11"/>
  <c r="O7" i="6" s="1"/>
  <c r="H32" i="11"/>
  <c r="H10" i="11"/>
  <c r="G9" i="3"/>
  <c r="G11" i="3"/>
  <c r="G10" i="3"/>
  <c r="N20" i="4"/>
  <c r="N10" i="4"/>
  <c r="H20" i="4"/>
  <c r="H10" i="4"/>
  <c r="D10" i="4"/>
  <c r="M20" i="4"/>
  <c r="M10" i="4"/>
  <c r="G10" i="4"/>
  <c r="L20" i="4"/>
  <c r="L10" i="4"/>
  <c r="E20" i="4"/>
  <c r="D20" i="4"/>
  <c r="F10" i="4"/>
  <c r="O20" i="4"/>
  <c r="I20" i="4"/>
  <c r="O10" i="4"/>
  <c r="P10" i="5"/>
  <c r="L20" i="5"/>
  <c r="G10" i="5"/>
  <c r="D20" i="5"/>
  <c r="G20" i="5"/>
  <c r="P20" i="5"/>
  <c r="C10" i="5"/>
  <c r="F10" i="5"/>
  <c r="F20" i="5"/>
  <c r="L10" i="5"/>
  <c r="I10" i="5"/>
  <c r="O20" i="5"/>
  <c r="H10" i="5"/>
  <c r="O10" i="5"/>
  <c r="I20" i="5"/>
  <c r="H20" i="5"/>
  <c r="N7" i="10"/>
  <c r="P9" i="10"/>
  <c r="Q7" i="10"/>
  <c r="L6" i="10"/>
  <c r="Q9" i="10"/>
  <c r="O9" i="10"/>
  <c r="N9" i="10"/>
  <c r="M9" i="10"/>
  <c r="Q8" i="10"/>
  <c r="Q10" i="10" s="1"/>
  <c r="P8" i="10"/>
  <c r="N8" i="10"/>
  <c r="N10" i="10" s="1"/>
  <c r="M8" i="10"/>
  <c r="O7" i="10"/>
  <c r="M7" i="10"/>
  <c r="M10" i="10" s="1"/>
  <c r="P6" i="10"/>
  <c r="P10" i="10" s="1"/>
  <c r="L9" i="10"/>
  <c r="L8" i="10"/>
  <c r="L10" i="10" s="1"/>
  <c r="O6" i="10"/>
  <c r="O10" i="10" s="1"/>
  <c r="I24" i="10"/>
  <c r="H10" i="3"/>
  <c r="I12" i="3"/>
  <c r="H11" i="3"/>
  <c r="H8" i="3"/>
  <c r="H9" i="3"/>
  <c r="O19" i="8" l="1"/>
  <c r="O19" i="9" s="1"/>
  <c r="G16" i="8"/>
  <c r="G16" i="9" s="1"/>
  <c r="M19" i="8"/>
  <c r="M19" i="9" s="1"/>
  <c r="O18" i="8"/>
  <c r="O18" i="9" s="1"/>
  <c r="H19" i="8"/>
  <c r="H19" i="9" s="1"/>
  <c r="Q8" i="8"/>
  <c r="Q8" i="9" s="1"/>
  <c r="N9" i="8"/>
  <c r="N9" i="9" s="1"/>
  <c r="N16" i="8"/>
  <c r="N16" i="9" s="1"/>
  <c r="M20" i="8"/>
  <c r="M20" i="9" s="1"/>
  <c r="P8" i="8"/>
  <c r="P8" i="9" s="1"/>
  <c r="H20" i="8"/>
  <c r="H20" i="9" s="1"/>
  <c r="E20" i="8"/>
  <c r="E20" i="9" s="1"/>
  <c r="Q17" i="8"/>
  <c r="Q17" i="9" s="1"/>
  <c r="G17" i="8"/>
  <c r="G17" i="9" s="1"/>
  <c r="P9" i="8"/>
  <c r="P9" i="9" s="1"/>
  <c r="H16" i="8"/>
  <c r="H16" i="9" s="1"/>
  <c r="Q6" i="8"/>
  <c r="Q6" i="9" s="1"/>
  <c r="D19" i="8"/>
  <c r="D19" i="9" s="1"/>
  <c r="M17" i="8"/>
  <c r="M17" i="9" s="1"/>
  <c r="P17" i="8"/>
  <c r="P17" i="9" s="1"/>
  <c r="N6" i="8"/>
  <c r="N6" i="9" s="1"/>
  <c r="D18" i="8"/>
  <c r="D18" i="9" s="1"/>
  <c r="P16" i="8"/>
  <c r="P16" i="9" s="1"/>
  <c r="O7" i="8"/>
  <c r="O7" i="9" s="1"/>
  <c r="Q18" i="8"/>
  <c r="Q18" i="9" s="1"/>
  <c r="D16" i="8"/>
  <c r="D16" i="9" s="1"/>
  <c r="F16" i="8"/>
  <c r="F16" i="9" s="1"/>
  <c r="P18" i="8"/>
  <c r="P18" i="9" s="1"/>
  <c r="D17" i="8"/>
  <c r="D17" i="9" s="1"/>
  <c r="Q16" i="8"/>
  <c r="Q16" i="9" s="1"/>
  <c r="L7" i="8"/>
  <c r="L7" i="9" s="1"/>
  <c r="Q19" i="8"/>
  <c r="Q19" i="9" s="1"/>
  <c r="E18" i="8"/>
  <c r="E18" i="9" s="1"/>
  <c r="R19" i="11"/>
  <c r="R19" i="6" s="1"/>
  <c r="L19" i="6"/>
  <c r="M6" i="11"/>
  <c r="M6" i="6" s="1"/>
  <c r="M10" i="6"/>
  <c r="M8" i="11"/>
  <c r="M8" i="6" s="1"/>
  <c r="M9" i="11"/>
  <c r="M9" i="6" s="1"/>
  <c r="M7" i="11"/>
  <c r="M7" i="6" s="1"/>
  <c r="P7" i="8"/>
  <c r="P7" i="9" s="1"/>
  <c r="O20" i="8"/>
  <c r="O20" i="9" s="1"/>
  <c r="D7" i="6"/>
  <c r="R20" i="8"/>
  <c r="V10" i="11"/>
  <c r="C19" i="8"/>
  <c r="C19" i="9" s="1"/>
  <c r="N7" i="8"/>
  <c r="N7" i="9" s="1"/>
  <c r="P20" i="8"/>
  <c r="P20" i="9" s="1"/>
  <c r="I17" i="11"/>
  <c r="I17" i="6" s="1"/>
  <c r="C17" i="6"/>
  <c r="P19" i="8"/>
  <c r="P19" i="9" s="1"/>
  <c r="E19" i="8"/>
  <c r="E19" i="9" s="1"/>
  <c r="F18" i="8"/>
  <c r="F18" i="9" s="1"/>
  <c r="I20" i="8"/>
  <c r="Q9" i="6"/>
  <c r="C16" i="6"/>
  <c r="I16" i="11"/>
  <c r="I16" i="6" s="1"/>
  <c r="L16" i="6"/>
  <c r="R16" i="11"/>
  <c r="R16" i="6" s="1"/>
  <c r="N20" i="8"/>
  <c r="N20" i="9" s="1"/>
  <c r="F17" i="8"/>
  <c r="F17" i="9" s="1"/>
  <c r="D6" i="6"/>
  <c r="D9" i="6"/>
  <c r="L8" i="6"/>
  <c r="D20" i="8"/>
  <c r="D20" i="9" s="1"/>
  <c r="C20" i="8"/>
  <c r="C20" i="9" s="1"/>
  <c r="F19" i="8"/>
  <c r="F19" i="9" s="1"/>
  <c r="I19" i="11"/>
  <c r="I19" i="6" s="1"/>
  <c r="G19" i="6"/>
  <c r="L6" i="6"/>
  <c r="R10" i="11"/>
  <c r="R10" i="6" s="1"/>
  <c r="H17" i="8"/>
  <c r="H17" i="9" s="1"/>
  <c r="O10" i="8"/>
  <c r="O10" i="9" s="1"/>
  <c r="E16" i="8"/>
  <c r="E16" i="9" s="1"/>
  <c r="N8" i="8"/>
  <c r="N8" i="9" s="1"/>
  <c r="X10" i="11"/>
  <c r="F7" i="11"/>
  <c r="F10" i="6"/>
  <c r="F9" i="11"/>
  <c r="F8" i="11"/>
  <c r="F6" i="11"/>
  <c r="N10" i="8"/>
  <c r="N10" i="9" s="1"/>
  <c r="C18" i="6"/>
  <c r="I18" i="11"/>
  <c r="I18" i="6" s="1"/>
  <c r="P6" i="8"/>
  <c r="P6" i="9" s="1"/>
  <c r="Q7" i="6"/>
  <c r="L9" i="8"/>
  <c r="L9" i="9" s="1"/>
  <c r="R18" i="11"/>
  <c r="R18" i="6" s="1"/>
  <c r="L18" i="6"/>
  <c r="N19" i="8"/>
  <c r="N19" i="9" s="1"/>
  <c r="Q10" i="8"/>
  <c r="Q10" i="9" s="1"/>
  <c r="G6" i="11"/>
  <c r="G7" i="11"/>
  <c r="G10" i="6"/>
  <c r="Y10" i="11"/>
  <c r="G8" i="11"/>
  <c r="G9" i="11"/>
  <c r="W10" i="11"/>
  <c r="E10" i="6"/>
  <c r="E9" i="11"/>
  <c r="E8" i="11"/>
  <c r="E7" i="11"/>
  <c r="E6" i="11"/>
  <c r="O16" i="8"/>
  <c r="O16" i="9" s="1"/>
  <c r="D8" i="6"/>
  <c r="O6" i="8"/>
  <c r="O6" i="9" s="1"/>
  <c r="Q20" i="8"/>
  <c r="Q20" i="9" s="1"/>
  <c r="M18" i="8"/>
  <c r="M18" i="9" s="1"/>
  <c r="C6" i="11"/>
  <c r="C8" i="11"/>
  <c r="U10" i="11"/>
  <c r="C10" i="6"/>
  <c r="C9" i="11"/>
  <c r="C7" i="11"/>
  <c r="I10" i="11"/>
  <c r="G18" i="8"/>
  <c r="G18" i="9" s="1"/>
  <c r="L20" i="8"/>
  <c r="L20" i="9" s="1"/>
  <c r="O9" i="8"/>
  <c r="O9" i="9" s="1"/>
  <c r="H6" i="11"/>
  <c r="H7" i="11"/>
  <c r="H10" i="6"/>
  <c r="Z10" i="11"/>
  <c r="H8" i="11"/>
  <c r="H9" i="11"/>
  <c r="F20" i="8"/>
  <c r="F20" i="9" s="1"/>
  <c r="O17" i="8"/>
  <c r="O17" i="9" s="1"/>
  <c r="R17" i="11"/>
  <c r="R17" i="6" s="1"/>
  <c r="L17" i="6"/>
  <c r="M16" i="8"/>
  <c r="M16" i="9" s="1"/>
  <c r="P10" i="8"/>
  <c r="P10" i="9" s="1"/>
  <c r="R8" i="10"/>
  <c r="R9" i="10"/>
  <c r="R6" i="10"/>
  <c r="R7" i="10"/>
  <c r="V6" i="11" l="1"/>
  <c r="V9" i="11"/>
  <c r="V7" i="11"/>
  <c r="R20" i="9"/>
  <c r="I20" i="9"/>
  <c r="R7" i="11"/>
  <c r="R7" i="6" s="1"/>
  <c r="R7" i="8" s="1"/>
  <c r="V8" i="11"/>
  <c r="R8" i="11"/>
  <c r="R8" i="6" s="1"/>
  <c r="R8" i="8" s="1"/>
  <c r="R18" i="8"/>
  <c r="C17" i="8"/>
  <c r="C17" i="9" s="1"/>
  <c r="I17" i="9" s="1"/>
  <c r="D8" i="8"/>
  <c r="D8" i="9" s="1"/>
  <c r="F6" i="6"/>
  <c r="X6" i="11"/>
  <c r="W9" i="11"/>
  <c r="E9" i="6"/>
  <c r="F10" i="8"/>
  <c r="R16" i="8"/>
  <c r="M6" i="8"/>
  <c r="M6" i="9" s="1"/>
  <c r="C8" i="6"/>
  <c r="U8" i="11"/>
  <c r="L6" i="8"/>
  <c r="L6" i="9" s="1"/>
  <c r="I18" i="8"/>
  <c r="E6" i="6"/>
  <c r="W6" i="11"/>
  <c r="W7" i="11"/>
  <c r="E7" i="6"/>
  <c r="H10" i="8"/>
  <c r="E8" i="6"/>
  <c r="W8" i="11"/>
  <c r="X8" i="11"/>
  <c r="F8" i="6"/>
  <c r="D7" i="8"/>
  <c r="D7" i="9" s="1"/>
  <c r="Z6" i="11"/>
  <c r="H6" i="6"/>
  <c r="M9" i="8"/>
  <c r="M9" i="9" s="1"/>
  <c r="L18" i="8"/>
  <c r="L18" i="9" s="1"/>
  <c r="R18" i="9" s="1"/>
  <c r="U6" i="11"/>
  <c r="C6" i="6"/>
  <c r="I6" i="11"/>
  <c r="G19" i="8"/>
  <c r="G19" i="9" s="1"/>
  <c r="I19" i="9" s="1"/>
  <c r="I19" i="8"/>
  <c r="L17" i="8"/>
  <c r="L17" i="9" s="1"/>
  <c r="R17" i="9" s="1"/>
  <c r="Q7" i="8"/>
  <c r="Q7" i="9" s="1"/>
  <c r="R17" i="8"/>
  <c r="I17" i="8"/>
  <c r="H9" i="6"/>
  <c r="Z9" i="11"/>
  <c r="C18" i="8"/>
  <c r="C18" i="9" s="1"/>
  <c r="I18" i="9" s="1"/>
  <c r="L8" i="8"/>
  <c r="L8" i="9" s="1"/>
  <c r="H8" i="6"/>
  <c r="Z8" i="11"/>
  <c r="D9" i="8"/>
  <c r="D9" i="9" s="1"/>
  <c r="H7" i="6"/>
  <c r="Z7" i="11"/>
  <c r="F9" i="6"/>
  <c r="X9" i="11"/>
  <c r="D6" i="8"/>
  <c r="D6" i="9" s="1"/>
  <c r="E10" i="8"/>
  <c r="X7" i="11"/>
  <c r="F7" i="6"/>
  <c r="I9" i="11"/>
  <c r="G9" i="6"/>
  <c r="Y9" i="11"/>
  <c r="I8" i="11"/>
  <c r="G8" i="6"/>
  <c r="Y8" i="11"/>
  <c r="M7" i="8"/>
  <c r="M7" i="9" s="1"/>
  <c r="L16" i="8"/>
  <c r="L16" i="9" s="1"/>
  <c r="R16" i="9" s="1"/>
  <c r="AA10" i="11"/>
  <c r="I10" i="6"/>
  <c r="G10" i="8"/>
  <c r="M8" i="8"/>
  <c r="M8" i="9" s="1"/>
  <c r="U7" i="11"/>
  <c r="C7" i="6"/>
  <c r="I7" i="11"/>
  <c r="G7" i="6"/>
  <c r="Y7" i="11"/>
  <c r="I16" i="8"/>
  <c r="M10" i="8"/>
  <c r="U9" i="11"/>
  <c r="C9" i="6"/>
  <c r="G6" i="6"/>
  <c r="Y6" i="11"/>
  <c r="C16" i="8"/>
  <c r="C16" i="9" s="1"/>
  <c r="I16" i="9" s="1"/>
  <c r="C10" i="8"/>
  <c r="R10" i="8"/>
  <c r="Q9" i="8"/>
  <c r="Q9" i="9" s="1"/>
  <c r="L19" i="8"/>
  <c r="L19" i="9" s="1"/>
  <c r="R19" i="9" s="1"/>
  <c r="R6" i="11"/>
  <c r="R6" i="6" s="1"/>
  <c r="R9" i="11"/>
  <c r="R9" i="6" s="1"/>
  <c r="R19" i="8"/>
  <c r="R10" i="10"/>
  <c r="D28" i="9" l="1"/>
  <c r="R7" i="9"/>
  <c r="D27" i="9"/>
  <c r="R9" i="9"/>
  <c r="R8" i="9"/>
  <c r="F30" i="8"/>
  <c r="F10" i="9"/>
  <c r="F30" i="9" s="1"/>
  <c r="D26" i="9"/>
  <c r="E30" i="8"/>
  <c r="E10" i="9"/>
  <c r="E30" i="9" s="1"/>
  <c r="D29" i="9"/>
  <c r="G30" i="8"/>
  <c r="G10" i="9"/>
  <c r="G30" i="9" s="1"/>
  <c r="C30" i="8"/>
  <c r="C10" i="9"/>
  <c r="D30" i="8"/>
  <c r="M10" i="9"/>
  <c r="H30" i="8"/>
  <c r="H10" i="9"/>
  <c r="H30" i="9" s="1"/>
  <c r="R6" i="9"/>
  <c r="H8" i="8"/>
  <c r="G6" i="8"/>
  <c r="C8" i="8"/>
  <c r="C9" i="8"/>
  <c r="G8" i="8"/>
  <c r="H6" i="8"/>
  <c r="I9" i="6"/>
  <c r="AA9" i="11"/>
  <c r="F8" i="8"/>
  <c r="C7" i="8"/>
  <c r="AA8" i="11"/>
  <c r="I8" i="6"/>
  <c r="H9" i="8"/>
  <c r="D27" i="8"/>
  <c r="G9" i="8"/>
  <c r="F7" i="8"/>
  <c r="E9" i="8"/>
  <c r="G7" i="8"/>
  <c r="E8" i="8"/>
  <c r="R9" i="8"/>
  <c r="I7" i="6"/>
  <c r="AA7" i="11"/>
  <c r="R6" i="8"/>
  <c r="D26" i="8"/>
  <c r="F6" i="8"/>
  <c r="E7" i="8"/>
  <c r="F9" i="8"/>
  <c r="D28" i="8"/>
  <c r="E6" i="8"/>
  <c r="H7" i="8"/>
  <c r="I10" i="8"/>
  <c r="I30" i="8" s="1"/>
  <c r="D29" i="8"/>
  <c r="AA6" i="11"/>
  <c r="I6" i="6"/>
  <c r="C6" i="8"/>
  <c r="F29" i="8" l="1"/>
  <c r="F9" i="9"/>
  <c r="F29" i="9" s="1"/>
  <c r="C29" i="8"/>
  <c r="C9" i="9"/>
  <c r="F26" i="8"/>
  <c r="F6" i="9"/>
  <c r="F26" i="9" s="1"/>
  <c r="E28" i="8"/>
  <c r="E8" i="9"/>
  <c r="E28" i="9" s="1"/>
  <c r="D30" i="9"/>
  <c r="R10" i="9"/>
  <c r="E29" i="8"/>
  <c r="E9" i="9"/>
  <c r="E29" i="9" s="1"/>
  <c r="F27" i="8"/>
  <c r="F7" i="9"/>
  <c r="F27" i="9" s="1"/>
  <c r="C26" i="8"/>
  <c r="C6" i="9"/>
  <c r="H29" i="8"/>
  <c r="H9" i="9"/>
  <c r="H29" i="9" s="1"/>
  <c r="F28" i="8"/>
  <c r="F8" i="9"/>
  <c r="F28" i="9" s="1"/>
  <c r="E26" i="8"/>
  <c r="E6" i="9"/>
  <c r="E26" i="9" s="1"/>
  <c r="H26" i="8"/>
  <c r="H6" i="9"/>
  <c r="H26" i="9" s="1"/>
  <c r="G28" i="8"/>
  <c r="G8" i="9"/>
  <c r="G28" i="9" s="1"/>
  <c r="E27" i="8"/>
  <c r="E7" i="9"/>
  <c r="E27" i="9" s="1"/>
  <c r="C28" i="8"/>
  <c r="C8" i="9"/>
  <c r="G26" i="8"/>
  <c r="G6" i="9"/>
  <c r="G26" i="9" s="1"/>
  <c r="H28" i="8"/>
  <c r="H8" i="9"/>
  <c r="H28" i="9" s="1"/>
  <c r="G27" i="8"/>
  <c r="G7" i="9"/>
  <c r="G27" i="9" s="1"/>
  <c r="C30" i="9"/>
  <c r="I10" i="9"/>
  <c r="G29" i="8"/>
  <c r="G9" i="9"/>
  <c r="G29" i="9" s="1"/>
  <c r="C27" i="8"/>
  <c r="C7" i="9"/>
  <c r="H27" i="8"/>
  <c r="H7" i="9"/>
  <c r="H27" i="9" s="1"/>
  <c r="I8" i="8"/>
  <c r="I28" i="8" s="1"/>
  <c r="I6" i="8"/>
  <c r="I26" i="8" s="1"/>
  <c r="I7" i="8"/>
  <c r="I27" i="8" s="1"/>
  <c r="I9" i="8"/>
  <c r="I29" i="8" s="1"/>
  <c r="I30" i="9" l="1"/>
  <c r="C27" i="9"/>
  <c r="I7" i="9"/>
  <c r="I27" i="9" s="1"/>
  <c r="C28" i="9"/>
  <c r="I8" i="9"/>
  <c r="I28" i="9" s="1"/>
  <c r="I6" i="9"/>
  <c r="I26" i="9" s="1"/>
  <c r="C26" i="9"/>
  <c r="I9" i="9"/>
  <c r="I29" i="9" s="1"/>
  <c r="C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7147BE22-64E3-424E-9C9B-E9F0EDB14F2F}">
      <text>
        <r>
          <rPr>
            <b/>
            <sz val="9"/>
            <color indexed="81"/>
            <rFont val="Tahoma"/>
            <family val="2"/>
          </rPr>
          <t>LEVEL 1:</t>
        </r>
        <r>
          <rPr>
            <sz val="9"/>
            <color indexed="81"/>
            <rFont val="Tahoma"/>
            <family val="2"/>
          </rPr>
          <t xml:space="preserve">
Requires no training at all and generally will not involve complex
technology.</t>
        </r>
      </text>
    </comment>
    <comment ref="D5" authorId="0" shapeId="0" xr:uid="{9374A02C-3855-4F82-BF21-D89F36F66964}">
      <text>
        <r>
          <rPr>
            <b/>
            <sz val="9"/>
            <color indexed="81"/>
            <rFont val="Tahoma"/>
            <family val="2"/>
          </rPr>
          <t>LEVEL 2:</t>
        </r>
        <r>
          <rPr>
            <sz val="9"/>
            <color indexed="81"/>
            <rFont val="Tahoma"/>
            <family val="2"/>
          </rPr>
          <t xml:space="preserve">
Requires some training, induction or education of up to a year, or
substantial experience of around five years in the role.</t>
        </r>
      </text>
    </comment>
    <comment ref="E5" authorId="0" shapeId="0" xr:uid="{129C0347-7BA3-46B5-A2F0-A544E2F492C1}">
      <text>
        <r>
          <rPr>
            <b/>
            <sz val="9"/>
            <color indexed="81"/>
            <rFont val="Tahoma"/>
            <family val="2"/>
          </rPr>
          <t>LEVEL 3:</t>
        </r>
        <r>
          <rPr>
            <sz val="9"/>
            <color indexed="81"/>
            <rFont val="Tahoma"/>
            <family val="2"/>
          </rPr>
          <t xml:space="preserve">
Requires three to four years of formal education and are associated
with junior non-medical professions (e.g. occupational therapists).</t>
        </r>
      </text>
    </comment>
    <comment ref="F5" authorId="0" shapeId="0" xr:uid="{1124C6A5-3FF5-4373-A63A-B2D29EB91DCD}">
      <text>
        <r>
          <rPr>
            <b/>
            <sz val="9"/>
            <color indexed="81"/>
            <rFont val="Tahoma"/>
            <family val="2"/>
          </rPr>
          <t>LEVEL 4:</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9A9C9CBC-26C9-42AE-B9B9-3C41DC25F9CA}">
      <text>
        <r>
          <rPr>
            <b/>
            <sz val="9"/>
            <color indexed="81"/>
            <rFont val="Tahoma"/>
            <family val="2"/>
          </rPr>
          <t>LEVEL 5:</t>
        </r>
        <r>
          <rPr>
            <sz val="9"/>
            <color indexed="81"/>
            <rFont val="Tahoma"/>
            <family val="2"/>
          </rPr>
          <t xml:space="preserve">
Requires over six years of formal
education and are generally associated
with junior medical and dental staff.</t>
        </r>
      </text>
    </comment>
    <comment ref="H5" authorId="0" shapeId="0" xr:uid="{C95812BF-2592-49B2-AFB8-8A45DE71AF4D}">
      <text>
        <r>
          <rPr>
            <b/>
            <sz val="9"/>
            <color indexed="81"/>
            <rFont val="Tahoma"/>
            <family val="2"/>
          </rPr>
          <t>LEVEL 6:</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E1820A71-61E8-4411-883D-C35EAF584725}">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9990DB8A-7FC7-447C-9301-2646F00FA2B2}">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983CAC6A-2D35-4258-8721-FD683941836E}">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0C2EB40D-3F49-48E6-8DB2-F22D9B9221B5}">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A6FE2289-7B68-4CF5-8F9F-DB92215CA654}">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A45B761D-554C-4EA2-A7C5-EB1822ACCE7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1CDF1583-A61C-43D0-98F6-FD9FA1F6FEFC}">
      <text>
        <r>
          <rPr>
            <b/>
            <sz val="9"/>
            <color indexed="81"/>
            <rFont val="Tahoma"/>
            <family val="2"/>
          </rPr>
          <t>PREVENT:</t>
        </r>
        <r>
          <rPr>
            <sz val="9"/>
            <color indexed="81"/>
            <rFont val="Tahoma"/>
            <family val="2"/>
          </rPr>
          <t xml:space="preserve">
Reduce the instance or incidence of ill health and demand for care.</t>
        </r>
      </text>
    </comment>
    <comment ref="K6" authorId="0" shapeId="0" xr:uid="{DFD8ABE8-EEED-4AA2-9AF0-C352A8E7EC1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380CF002-6B75-44D2-9954-7A40D9DF92ED}">
      <text>
        <r>
          <rPr>
            <b/>
            <sz val="9"/>
            <color indexed="81"/>
            <rFont val="Tahoma"/>
            <family val="2"/>
          </rPr>
          <t>ENABLE:</t>
        </r>
        <r>
          <rPr>
            <sz val="9"/>
            <color indexed="81"/>
            <rFont val="Tahoma"/>
            <family val="2"/>
          </rPr>
          <t xml:space="preserve">
Increase the control and capacity service users have to improve
their situation.</t>
        </r>
      </text>
    </comment>
    <comment ref="K7" authorId="0" shapeId="0" xr:uid="{AA5BBF5C-F84A-4FAE-943D-DDDE4C6FEA2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32F3EC69-4CAF-4AEE-A049-44658CE7878D}">
      <text>
        <r>
          <rPr>
            <b/>
            <sz val="9"/>
            <color indexed="81"/>
            <rFont val="Tahoma"/>
            <family val="2"/>
          </rPr>
          <t>ASSESS:</t>
        </r>
        <r>
          <rPr>
            <sz val="9"/>
            <color indexed="81"/>
            <rFont val="Tahoma"/>
            <family val="2"/>
          </rPr>
          <t xml:space="preserve">
Identify and understand a presenting problem, including evaluations.</t>
        </r>
      </text>
    </comment>
    <comment ref="K8" authorId="0" shapeId="0" xr:uid="{BA6F5AAC-B1A0-4560-B192-3A410D46598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E61B25B0-2976-43F4-9AD8-7E3A418E71F1}">
      <text>
        <r>
          <rPr>
            <b/>
            <sz val="9"/>
            <color indexed="81"/>
            <rFont val="Tahoma"/>
            <family val="2"/>
          </rPr>
          <t>PLAN:</t>
        </r>
        <r>
          <rPr>
            <sz val="9"/>
            <color indexed="81"/>
            <rFont val="Tahoma"/>
            <family val="2"/>
          </rPr>
          <t xml:space="preserve">
Define the package of skills required to meet service user needs.</t>
        </r>
      </text>
    </comment>
    <comment ref="K9" authorId="0" shapeId="0" xr:uid="{FFD22682-B3F2-4F86-8EDF-01F43846BB9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B10" authorId="0" shapeId="0" xr:uid="{65ECAC80-CB05-4C5B-8274-0E1E990A9B03}">
      <text>
        <r>
          <rPr>
            <b/>
            <sz val="9"/>
            <color indexed="81"/>
            <rFont val="Tahoma"/>
            <family val="2"/>
          </rPr>
          <t>TREAT:</t>
        </r>
        <r>
          <rPr>
            <sz val="9"/>
            <color indexed="81"/>
            <rFont val="Tahoma"/>
            <family val="2"/>
          </rPr>
          <t xml:space="preserve">
Change the condition and restore the service user to good, or
improved health.</t>
        </r>
      </text>
    </comment>
    <comment ref="B11" authorId="0" shapeId="0" xr:uid="{F65AD082-EACF-4458-A597-2A3E6A02A71C}">
      <text>
        <r>
          <rPr>
            <b/>
            <sz val="9"/>
            <color indexed="81"/>
            <rFont val="Tahoma"/>
            <family val="2"/>
          </rPr>
          <t>REHABILITATE:</t>
        </r>
        <r>
          <rPr>
            <sz val="9"/>
            <color indexed="81"/>
            <rFont val="Tahoma"/>
            <family val="2"/>
          </rPr>
          <t xml:space="preserve">
Restore functionality, independence, participation and even purpose of
service user.</t>
        </r>
      </text>
    </comment>
    <comment ref="B12" authorId="0" shapeId="0" xr:uid="{B3043EB2-E49B-4095-BA7D-51ED3A3B5A9B}">
      <text>
        <r>
          <rPr>
            <b/>
            <sz val="9"/>
            <color indexed="81"/>
            <rFont val="Tahoma"/>
            <family val="2"/>
          </rPr>
          <t>RELIEVE:</t>
        </r>
        <r>
          <rPr>
            <sz val="9"/>
            <color indexed="81"/>
            <rFont val="Tahoma"/>
            <family val="2"/>
          </rPr>
          <t xml:space="preserve">
Assist service users by abating symptoms of ill-health and distress and
meet support needs.</t>
        </r>
      </text>
    </comment>
    <comment ref="B13" authorId="0" shapeId="0" xr:uid="{03D976B7-4389-4E93-A9FF-EB543E03EE5F}">
      <text>
        <r>
          <rPr>
            <b/>
            <sz val="9"/>
            <color indexed="81"/>
            <rFont val="Tahoma"/>
            <family val="2"/>
          </rPr>
          <t>LINK:</t>
        </r>
        <r>
          <rPr>
            <sz val="9"/>
            <color indexed="81"/>
            <rFont val="Tahoma"/>
            <family val="2"/>
          </rPr>
          <t xml:space="preserve">
Connect different sectors, services, workforces and their skills around a
holistic understanding of the needs of the service user.</t>
        </r>
      </text>
    </comment>
    <comment ref="C19" authorId="0" shapeId="0" xr:uid="{7A7ED146-DC88-4E9F-87A7-B470C9982987}">
      <text>
        <r>
          <rPr>
            <b/>
            <sz val="9"/>
            <color indexed="81"/>
            <rFont val="Tahoma"/>
            <family val="2"/>
          </rPr>
          <t>LEVEL 1:</t>
        </r>
        <r>
          <rPr>
            <sz val="9"/>
            <color indexed="81"/>
            <rFont val="Tahoma"/>
            <family val="2"/>
          </rPr>
          <t xml:space="preserve">
Requires no training at all and generally will not involve complex
technology.</t>
        </r>
      </text>
    </comment>
    <comment ref="D19" authorId="0" shapeId="0" xr:uid="{8CF6E555-37B1-48D2-94A1-F22C8BB5BA7A}">
      <text>
        <r>
          <rPr>
            <b/>
            <sz val="9"/>
            <color indexed="81"/>
            <rFont val="Tahoma"/>
            <family val="2"/>
          </rPr>
          <t>LEVEL 2:</t>
        </r>
        <r>
          <rPr>
            <sz val="9"/>
            <color indexed="81"/>
            <rFont val="Tahoma"/>
            <family val="2"/>
          </rPr>
          <t xml:space="preserve">
Requires some training, induction or education of up to a year, or
substantial experience of around five years in the role.</t>
        </r>
      </text>
    </comment>
    <comment ref="E19" authorId="0" shapeId="0" xr:uid="{55562590-3874-45C5-B6FA-4F21430AA73A}">
      <text>
        <r>
          <rPr>
            <b/>
            <sz val="9"/>
            <color indexed="81"/>
            <rFont val="Tahoma"/>
            <family val="2"/>
          </rPr>
          <t>LEVEL 3:</t>
        </r>
        <r>
          <rPr>
            <sz val="9"/>
            <color indexed="81"/>
            <rFont val="Tahoma"/>
            <family val="2"/>
          </rPr>
          <t xml:space="preserve">
Requires three to four years of formal education and are associated
with junior non-medical professions (e.g. occupational therapists).</t>
        </r>
      </text>
    </comment>
    <comment ref="F19" authorId="0" shapeId="0" xr:uid="{AE8E36F1-7243-4DD6-9962-727AF7ACC0A3}">
      <text>
        <r>
          <rPr>
            <b/>
            <sz val="9"/>
            <color indexed="81"/>
            <rFont val="Tahoma"/>
            <family val="2"/>
          </rPr>
          <t>LEVEL 4:</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9" authorId="0" shapeId="0" xr:uid="{F09A4EAD-CDBD-4A6C-AAE2-F1CA9B541F82}">
      <text>
        <r>
          <rPr>
            <b/>
            <sz val="9"/>
            <color indexed="81"/>
            <rFont val="Tahoma"/>
            <family val="2"/>
          </rPr>
          <t>LEVEL 5:</t>
        </r>
        <r>
          <rPr>
            <sz val="9"/>
            <color indexed="81"/>
            <rFont val="Tahoma"/>
            <family val="2"/>
          </rPr>
          <t xml:space="preserve">
Requires over six years of formal
education and are generally associated
with junior medical and dental staff.</t>
        </r>
      </text>
    </comment>
    <comment ref="H19" authorId="0" shapeId="0" xr:uid="{652EB7D1-AA49-42BF-87EA-EAE9D5D34F01}">
      <text>
        <r>
          <rPr>
            <b/>
            <sz val="9"/>
            <color indexed="81"/>
            <rFont val="Tahoma"/>
            <family val="2"/>
          </rPr>
          <t>LEVEL 6:</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20" authorId="0" shapeId="0" xr:uid="{4FB387C3-685C-4F1E-892E-91374BBC2ED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21" authorId="0" shapeId="0" xr:uid="{E5EF7BEF-933F-4179-9393-2FFC0174E228}">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22" authorId="0" shapeId="0" xr:uid="{DF2BE910-3E08-429E-B414-58EC18D55626}">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23" authorId="0" shapeId="0" xr:uid="{358F17AB-EC50-41D8-9C8B-C0936EBA9095}">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AD7FC00F-C885-4D74-879E-D14AC8F9BEED}">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4B191E53-68F5-47C8-8165-CB8067136D65}">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604BEA76-BADA-46CF-8603-08CB2D6DDACE}">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6399079C-4104-48A0-88DF-4872A565DEA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5BDB3637-F429-4F99-92F7-7B2E84C12EB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129D70B3-38E4-4202-A83E-C4D31221C4A8}">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71B05F18-8561-4E6B-8CC5-2AF71C9C3071}">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6E077238-EDD5-429D-A962-4D924ED0C7DE}">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723D39E6-8FF2-4606-81E0-0B89BDAC880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8BB8F0F2-B7A0-4B1A-888C-D5AD33E50B78}">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10942459-D12E-4AE7-8999-031066F1E2CF}">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D23FF842-485D-4886-81DF-9F25554426F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CEF43E12-C885-41FC-8E75-F0BD760E825B}">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02013C0F-1321-4107-98FE-045ABF898C38}">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E3FDF6EA-5598-49F2-84E9-1E4F2FFC806D}">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74041B95-6358-4F13-B917-EE4AF1398F6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7AA07966-9B0B-46CA-A7E3-3407B9689AE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E50EC39D-E5D2-4F91-9C93-45CA12F6725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E56813A8-3105-4935-A182-D6013141C5A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C51A82D5-A4D3-4E2F-B8E1-CB680016871D}">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62314BCA-43AC-43B2-8EBA-3ACF5ADB2AB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EBC9521E-166D-4090-A499-DFFB530984F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94308DA1-C26F-4578-B23F-FF7902920CCC}">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F3418905-7ED1-4D2C-81D5-6C8B6D5AE76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B3AFF9CA-0C99-4627-87B9-D9B665068400}">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27C66915-D135-4421-88B3-A64BD2FA9697}">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12E417CC-2079-4CE4-BF49-D38BA328E92B}">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43EA9EF2-F6B0-4B69-9528-626960371209}">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8FDCF282-C3B1-4CF8-AF85-83C5745A3E9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1130201B-FEEC-4A63-B8C2-49735D79EEF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5BFE98A8-5AC4-485E-AB18-13FE35B0CC28}">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7A2F205C-42A0-4A7A-9FCE-D1A7BC9CCE4D}">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110F52BE-AC08-4F38-A0E4-D084AB6A44EF}">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B79D0542-C921-4354-A5AB-7DC3A1F47F8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39297ADB-EC6E-4B26-8F40-466FC6A99402}">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2F9B9252-CEE0-48B1-B98A-8B23C3AB3A22}">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CB9587A8-7D61-4531-BD2E-3805BB422802}">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99B02C49-A37B-4C89-A592-4D61234ACE24}">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B5D42257-BCAF-4363-85A8-B60CDCD7122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6BB7EB1A-F84E-493A-BA78-94716E38690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002B094C-078B-4CFF-BD70-092B81DB462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E11E8F1B-33B1-4014-81BE-9694845723A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CAA7ECCA-7BFF-4316-9D7F-458BF0480D03}">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A2DAD52C-FB0A-4AA0-AB90-C468F0C0195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9AAB2EF4-1A98-4962-9EAE-0501396BF09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C2F30106-BFD6-4177-97F4-B05AB8CCE278}">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AC01D199-CE43-4EEA-A315-76A86A5A2BF9}">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3FE476D-73C2-4E1B-A403-67E4D8B053E9}">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5C84D16C-99FC-4089-81CC-5847E3F4CE2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32ED59C5-F497-4E83-BA91-9676ADA30DC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425C1716-8A37-41D7-8686-6D7F566A8D1D}">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2E4C9C99-6093-44A3-A127-066DB31B8C1B}">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118DEB8A-F651-44D7-8A68-DD1BAB30C20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5393BF64-2128-45FD-8A21-BC6CE8A01B38}">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5F8E0CAC-6A72-47F1-BC40-0CAE52613F69}">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EEC1E637-3EAD-45CB-B6BB-94025AEA8253}">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DCB0B917-9E13-42A5-A3D0-D3DB5DFD0832}">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1FE67558-ECCA-46FE-8460-8CA55EE3714A}">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165A86F0-7F35-4899-BE2C-AAE3905ED565}">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97479D37-4D91-40FD-A0B4-CD6DBDD4454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34A845B6-11B5-4AD7-96B5-23CD103E0D51}">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7E4EC381-02B9-468E-AE89-5DBD9DA6AAA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0F14835E-2C6A-4D3E-81BE-7AE7D87DC5E8}">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F21FCD99-D880-44C7-84B8-F4598E0EF8E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32D3984C-EA65-46CA-A929-CF746CF44426}">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3B080D9-12AE-4803-9198-0A0862A14AD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646063AF-8BF7-4C63-B6B2-D5A03F889C49}">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8B978D1F-4617-4E11-8850-7F1232DB0CD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40FDCAED-9B17-44E1-9E2E-18A13F4AA5D5}">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708065B8-E6D3-4AFB-8454-844866C546C3}">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ED7CEDFD-A1D8-4291-BC73-F0779A3C971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112514E2-FB03-4BFA-A0B2-C8442C2FA48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9597A465-20B6-4BB9-9859-DA280766542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184A242D-E2F2-40E1-920A-BCCCA5CB9C7D}">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6E5E148E-8A3E-471C-8075-36439CEEFCEC}">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8CDE2414-2BDC-4515-8201-615024CB8FA3}">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925CEB72-6472-4953-88C6-BF760B01F7B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FCCEFCC2-7A63-438D-A86C-9A777D29126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9C1036EA-E726-44C3-86A8-A0E444262FF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41A7A5CC-6851-41FA-B3F7-F55BAB948843}">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EDD1BDB9-09AD-48EB-904F-F8766A28CA2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700D9405-B42A-40C3-8A16-B4074E05C68A}">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8BAD4120-05EB-447F-92B4-B557430C78D1}">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0FE5ADD3-A3F0-4790-B588-6AF3BF6459D1}">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C642F61F-818D-4C8C-9E33-BDCAFAA87B7B}">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A5A153ED-5366-4282-BE05-61B5A8838025}">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52FFFDD7-4A00-4548-93E3-6AE864A47F01}">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E01E0432-0C19-41AA-82ED-9DF3B24B510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1E39DC51-2D11-47AE-8833-AE30C43FED68}">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7CFF16B8-D625-4DE3-BB9F-0D943786910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A97A0917-F9C5-4AD5-9AB4-B9B340C3B4E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2304610F-2E1C-40CC-9BB7-17D5AFDFD41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6E4A1B62-A128-40AF-90EF-40EB7D3F02DB}">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41723E11-FA3D-41F0-A700-E601413299EA}">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6A7F7FFE-36FD-43BE-ADD7-75136D535903}">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D749591B-3DE8-4045-A494-44171CD487D5}">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F9BDA643-B746-446C-883A-2AA5D563F5A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200CFD8C-3667-4F20-9961-BA89340F402D}">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41C30B25-21EE-4994-A62C-1663C0716FAB}">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4EABB0CF-9771-4A7B-B66E-06C3EFDF7C0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EAEC3F05-4A4D-4A94-887C-F9057CF2E796}">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F1F6BB2D-C445-4800-B189-D11497F9C2C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78872F3E-4F98-43BA-88B1-549CDD1ADBFC}">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379FE0CB-B9A8-4DCB-89B9-773BE4F9295B}">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2AD8ABC1-C8B3-4B16-B24F-9DFFCA1F095B}">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1FC29E91-7AF9-442C-87A8-ECA30CA7B88F}">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9D4627D2-81D3-4CFB-823F-4A26169E1AC0}">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FE6F8608-DF84-4739-8F5E-096158AAFF9E}">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C678913E-035E-405F-B67F-CBF4321A3817}">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C366D59-10D6-4B66-A322-C1D58B4DCB55}">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8827975D-D9E2-4C54-A4DF-96957B11F656}">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DA0CFCC8-C210-419E-AD75-9D8097B71AF5}">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10C162F9-DAC6-4ACE-86B7-5491D8C655D6}">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9AD88739-3DA0-42D1-866B-520E8EE0134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B219BF51-5320-4405-ABBF-E295FAA64391}">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7FB8F7CF-D63F-4D56-B73F-2386CC93F99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3F8A80D4-8CD7-4732-8958-41CE128B9F1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4C16244A-77CB-4098-A660-6207F592BB06}">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A36593CE-993D-46F8-9E1A-5A6695AEF92A}">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DE1CC57E-B167-4179-9A79-5A5F5699DC95}">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681E16D5-30FB-4D97-8EE7-94C3DFEDBCAA}">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3FB42D45-3CD0-4528-95CB-856D0589C9B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DBC33046-92E5-4F60-AC61-AF43955198EF}">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48B0F352-D8B4-46CA-AB9F-C673F1465076}">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6FB4231D-D928-4DB6-972D-E79674EE7486}">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4BB85A47-10C2-496F-AEE2-06AC91E6DF5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2259FA82-F085-4B65-8C16-F2F5AB80827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EAEFA850-9E63-48FF-9CB9-BAB5684EC8B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15E8738F-5A3F-41CB-A3DE-239458A5AE7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F8028B49-053F-40CC-922B-096CA1FBCDD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CE9E7EBD-355A-4266-9A1E-009DFD731102}">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C956A720-CBB7-48EC-814E-0DABD2A6ED6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6724ECA-FED2-47B2-BE8D-B90354C276FA}">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9FD97DB1-FDAC-4E7C-AF79-735987E1BAD4}">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87C4FD87-C8D4-4754-9C14-7579DF15D285}">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4AD54C0F-6E71-4AA3-9B74-CA9F851D4184}">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6078BBBB-7490-4D6F-AF9F-44FC96809D86}">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A3608F50-3B63-458D-AE97-8019398E281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37851253-B7C6-4E9D-8042-306E3BDC025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8FE9BDE7-BA38-4736-9531-02C7E56A6368}">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8584A3E4-9960-4C40-AAA8-7F29A496406E}">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681C3063-7450-42A1-AACC-ACC17B59DC40}">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A64FF42F-2E32-42BE-A5BF-C2A7AAEB9B7A}">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3DC26E33-0EBD-4E07-AA04-5A5DE780821D}">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9293D682-5071-4251-9942-6D3D8531207B}">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2CB1E7E6-D294-415B-B7E6-9B993F81D9B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5D8F9EFB-8493-4009-BC54-0CBA0E4CB3C5}">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2CAAC78B-0C14-43D1-B74A-0B174ECF52A0}">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88578B31-8876-46DA-8708-D2128A547BB6}">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DA20C022-507D-483E-82A5-71121D2C331A}">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98F75E39-C090-4191-9AEB-0987DFE8D4D4}">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52F229BB-A27F-4169-9347-67E1919B384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9D23F143-4DE7-45D7-BAF5-09771A11D5E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0D4FE10C-51FC-4823-B19D-5945DC8C5C0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BD89B738-8C6C-48C1-A535-6193980E846E}">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963073FA-3B0D-4C49-AC86-9C88FDAE279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97416A26-AFB8-4775-BECF-ECBA83691F91}">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82EDB6D5-6BFB-4402-B026-4D6DBA85276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1F48BE1F-F477-4072-B50C-2B69B0A0B03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2AB64AA9-8809-45D4-826A-31FFFD09AB78}">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95822605-0B8A-4D34-9E75-ABF04BA4E94B}">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3F4E9606-E1A2-447F-A8DC-3D671C793C5B}">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E99F973E-1F66-4D4B-ABA9-20FD16E3C9F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78FDFF93-8153-47CE-92E4-1286A64E7C5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ABD31C37-B2F1-42B5-9A3E-17FD7900DD05}">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FD655D2F-F411-457F-BE94-61FDE996FE3C}">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F724A3DE-DED2-4D96-B880-A8E7F028A44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32428182-C59F-467C-B0DD-5E983DF25A0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4B8B39E6-B546-4162-BD0D-A2E83B8D1C17}">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B46AD581-2692-4A3F-BBC6-110ED477C32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5B18FC43-DA06-459A-9F83-2CF457ECCF38}">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10895FC-7534-4243-97AF-32EDC563B4E2}">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5943AE1F-0D59-45C6-8657-BC0F767AEEB6}">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F1741370-27A9-4133-A4E5-9F224E1371C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A10C8802-C9B1-41F4-8FF0-144429FE1F76}">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5B8B29D5-D9F7-4122-BE3D-02D089B2F85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4EBC0711-685B-49B6-A902-AD46CD738FC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483273A6-D4A5-4AC6-A096-F3965A3A23F5}">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4F6D3FDF-1F7F-427A-8EC1-96B7596A4E51}">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B5086BE2-49A5-4520-88CC-80DAB1D2A0F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8D9DE020-BBA4-4F3F-9DA5-D3C7FC340EAE}">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C677346A-2644-45BD-B11F-36EA38DA287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9C3B926F-BD35-41B5-8480-198678AC68A2}">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F8D4774B-F4B3-4E7E-B69A-1652781763F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2F1FBF66-6038-408B-842C-79EB9562A762}">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CDEF6FAE-C5B4-494C-8212-AE081397C62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AFD2A946-3F21-4397-B673-DA85A65A226B}">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A5A8537F-70B7-441A-8EEC-6F26B67C7BEE}">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E1459022-6156-4F38-A342-ABB5D725377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5E14EF9-FC23-4856-9EC0-6391C5A0DBF0}">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1780C0A7-6D76-452F-BC97-084EDF037F1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933A39AA-6E30-4E36-99AD-99B6FB6D4B8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E0012B90-BBE9-416F-800B-0DF022852890}">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A93CF73A-3085-4BB6-9C75-759522D31B59}">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0837F45-8E8B-436B-8557-6F216C84E695}">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7B47E84A-BF13-4520-8B3D-1963FE693C9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8322153B-6E25-46E5-9483-86EDEFABE46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F66D7D35-62B0-4FE0-82A7-D3D46F10541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4E333DFF-52DB-4AB0-8710-4D67C13D662C}">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A3DB6CAE-9AC6-4E85-A220-9B531D3A534B}">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85DF690F-39DE-40C7-9DF0-16C639E6F3C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3D9F1425-1E61-4E48-8AB6-948002AABF0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AACDD2F6-1BF2-4F0C-B507-33A8A0643BA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914C8761-66FC-4745-9197-68BA480D8146}">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BD5463BB-68E3-460E-8CCC-9B1703B7957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E0992EFC-4AAB-4299-BD72-3A9E5366F28F}">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A8453BD4-3132-4F75-90DC-BF3D3804206D}">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286BA48F-9E6E-46F4-8050-663CDA65B49B}">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D57C8034-0F2A-4B6A-BEAC-AB5F4DD94AB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86A5545D-813D-40D3-85FB-BF309A7A9E1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EC06BEB8-9257-44D0-BBD7-94FCE31B8AF3}">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3A8CA210-C309-4A36-8A66-B499A136D99D}">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13F2CCE6-0A67-4B61-A016-5D0EAA90B26F}">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D30A640F-F286-4E57-BEB3-4FAC6A1054E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33A94A39-843F-406D-A03F-9E59FB2FDAA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C1B57E22-E2AA-41A9-BADB-EEF186266CEB}">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BE9BC3B6-8464-4601-A9A1-5332947B7C2B}">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FE40AA09-DA21-4727-95CA-7ABF38D76F7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F3059C96-CA39-4219-B53E-F06F851BABD4}">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EB09BC17-5855-4C34-BB49-97E1EB4873B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A39321C8-EF41-4BAA-8422-B4275E23798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74E3E658-C720-4F94-BE2E-7AE7DCF14EF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5E306651-D135-4786-9914-ABEEC5946AFB}">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6ABA616B-71D6-4A9F-9F3C-AA680C757947}">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90D1D0CA-E480-4C0B-BC33-1A5308F47F71}">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94E2BFD7-E56B-478C-A067-8B0071C8A61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DCBA765F-0AC7-4F7A-80E0-D512D9BB445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1C9E96C4-3938-4850-BB6A-8750D2621CC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56489C49-5D7C-404D-8F2A-513C3D5C4804}">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1E6D6881-FDC1-4E9C-811B-70E3C07EEC1E}">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CFBF5994-442D-4EA1-9E03-C8491D6C2E96}">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8A91C3D3-406C-4C27-A84B-9D7FB0205330}">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070147AE-EEC6-40C3-A4D4-97C8341A539E}">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4729FF85-99D1-4190-A11D-B9209CEB5D0F}">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C8531648-94FD-4A02-A821-1DBF8AA2202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40F6E413-8091-4998-90BA-9DFB1C5A254E}">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72D3A21A-523A-43C5-BF15-659CCFD81582}">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4A823EB1-80DF-4902-A14E-BB3AB0AE755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15538BC0-E98C-4F2F-9664-21095BAA2A1E}">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3FAD43B3-CF0C-4EAA-A758-3F1AAB9F8F5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D507F352-7FD1-4A0A-B5F3-29DEE498764F}">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F22ADE61-A2DF-438B-BA05-25402C3350C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2C8DD84B-688B-4436-BF5F-0841D49E529E}">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FD63B360-7BC1-4FF9-A291-05E08E794063}">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8B0F9F62-D661-433E-A54A-786D5B978C02}">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7F47C991-F326-4ADC-A5A0-30AA04CEC069}">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C2337BA3-F6B9-43F1-9C74-1128B4E5EAB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7B7C6903-BD95-4C25-8484-5921727C72BD}">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E29F600B-1FA2-4DBA-A408-0A09D5385240}">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186FBAD6-5752-4351-A102-B133CA7F4AE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5F5444AC-7C16-4F13-BBFB-041B5E7F392D}">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FD4831AC-E13F-4BAC-9006-4865FBE2FD7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59D48C86-7D9A-4A7B-B3CD-8946F45A417D}">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7BE42581-6D4B-4C43-BD47-44245F3E2615}">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4E5D3BF1-109F-497C-A800-FB05EA071803}">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0F0AE14E-10BA-4471-B5CF-A01FB5203DB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ECBF507-2368-4E1B-95AF-539AA8E23565}">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2873E312-3A36-4AAD-9D2A-762976A7D17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36580251-1074-49F4-936D-3017A5A748F6}">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8BDB9307-0D47-458F-A5A4-F4BFB5FFAA9C}">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9D186103-2B5A-473C-955B-F1AD185489D7}">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9493E50A-E20F-4ADE-8627-A835157FC676}">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AF75BE4A-A2FD-41BD-931B-9C7C46844C6E}">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AE79DF92-187F-49C5-8174-4DB0509A8191}">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E6696ECE-671D-4ECD-9C8A-057D476AED6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A728E9AA-8751-4BDC-95D7-4581BA87EE32}">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1908248D-50B5-4FAA-81CD-76AC73F2B5CA}">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9CA373B1-3C70-4286-9630-C2B2D5DA3990}">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C7902A54-D89B-47C9-AD18-12A9D6197889}">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79216FD5-85DE-4957-B6F1-27AC17F2636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36B88B61-CB0A-4A18-BD4B-350DEB35ED5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34FE069C-C3C0-4A5E-915E-886114EB8674}">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4C52BEC7-7D70-4E90-8F29-4A613B84C58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5C496B2D-9B54-42F5-8119-FF74FD165584}">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96BA541E-CEAB-4C53-86C6-81C66A88972D}">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5E43B886-50CA-445C-88CA-2AFD62B82F4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55B0C2A5-C21E-479F-9F0E-2B2AA07E12D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560F297E-849F-4371-9164-2CEED7AB5E5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4F254839-C060-4AA8-95A6-402FDFD920A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350FEA7B-A6B6-42D7-9067-89760272FBB4}">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8847FEE3-403E-4865-A61C-1FD6F0BB872F}">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246206F1-D268-4398-AAFA-74202EA91522}">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F1F30C68-036F-425B-8964-56C5DE556687}">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5B46EB54-2B9E-41CE-A88D-CD5B09BF2C63}">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CEEBC0B1-6F46-420B-B8CE-4CC04DC47841}">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25DB3361-5E73-4365-A9CF-CF86331A1D65}">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08278A0D-50D2-4CAB-AC24-596F4AE997E6}">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DBD03374-4D48-411F-9E14-AF5DCC1864D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BFC6528E-E467-4F5D-9019-D59ED2EA7E2F}">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EA854E08-972D-41C5-A2FF-1C54C3D1C4D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B7EE6AD1-6F64-4C09-AC42-F18815EC832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D4E2478-1D0E-48EF-9D38-7277FF07608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EE7B35C3-5A31-44DC-98F1-283152830A3D}">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BCAA862E-3264-4965-BAA9-36EF9926991B}">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9F847451-CC77-40C3-8DEF-81EEFCBAA801}">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DD8B84D9-EFB8-40B9-A162-38685F8B8F5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A8C477DD-3B99-4538-8109-1FD95C60534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91BDD109-87A8-43D4-B33E-C2C1BDF3BE50}">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506CB1C5-81BF-49CA-8A9B-50F7AC0FE9C2}">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2AAF584F-759B-40C0-8AD1-EDB924CD2E75}">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2631B3A6-675E-40F0-ADCF-D3DBB4F1296B}">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CF1F65F6-024A-4886-9240-E3784F58484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54717E44-BDCC-42CB-BC29-7F66CB3C84F8}">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D8FB13D0-0BD8-46BE-A24C-DC3C5B563D0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066F36AF-C04D-4EB8-AD3C-DF9E09DCEF5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53E17A26-8E7A-4227-8441-54C27D58101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401A5420-0B73-4E25-83CC-003884ADF510}">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025E3EE7-64CD-4FE0-B2AC-262A41B4B8C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D06050D2-5231-4966-A914-FC6619EBAEF8}">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EFC3F682-3C0C-4BAE-848F-1B4B9FC24814}">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B4647B4E-C5D0-4CF7-A767-9CB7CEAC5743}">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5294CDE7-E33D-43FF-BE94-C6980C6D6ED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BE0B0063-0669-4284-8AD9-346A102671AE}">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346B9E56-CD5C-4797-AE2D-041A960C361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63A711D9-290E-4B84-B550-C6C64C3DDB0A}">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62BBD620-B89E-4829-B426-B323DF8B34A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E49EFEE8-9AF9-436A-8F56-175AF15CAC1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3EE5CA22-7D12-426C-820F-3874F0E86A6E}">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A27FB51F-B372-4F4A-AE43-84E30935FF8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3A671DFF-3125-41D7-9E27-54DC48733D7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3354908A-A985-407B-9664-CCC087586C7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72244911-3D64-4C6D-9E4D-B9B026DD2853}">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715CB68D-481B-456D-8756-D41407BF242B}">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DEB9D5CA-FF6D-4CA2-957E-CDAE1C6989F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A985ED65-5F0F-4491-B50E-35F22CAE20D1}">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1202F548-CC3F-4A7F-BFB7-816B0A3C1163}">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26E79D70-61C0-45C7-B816-E40993A8893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74938F11-B2DF-4040-8742-5A749A6E5C7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76D3E11E-46FD-40E0-8F60-C2DD31F665B2}">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3DF62AF6-B58A-42B6-B13B-434BD1C9B7E5}">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906EA012-1DD8-4205-BB6F-EC732CBD85C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0ACB3935-C601-4872-AB56-10C81B757800}">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4FE348AB-9EF8-4864-AA43-851B4A94619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CEB7EFB5-FCBD-4E58-88F3-E1B25080F57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B67163DC-41EE-436B-A3EB-5985CE16828A}">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8F3EA08F-0F73-4CC5-AECE-94D75908148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B76F3052-AE98-4E63-9861-E8C646C1323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8C27B21D-B00B-488A-8290-8D226C93712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E93393FC-7C16-46D0-8ED6-CFCD5BC40F5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7AE72EF0-FA2D-4C16-8FF2-E051AEC5016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2030FCDB-EA67-47F9-BF67-9B403D1A9884}">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5B9FCCCC-9142-42C9-B494-4FA8B9D844B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D8727530-E589-458B-A6C0-2534630DB47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6BD9372C-F983-452A-BF7A-B70EB8108581}">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35023E0F-2146-4D64-BE3D-E36641F95594}">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A74A2DE4-3458-4680-A215-4A80286B4517}">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F09A3980-DCF6-41BF-A05B-B0A0759771E5}">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859D5D91-1622-4B18-91BF-925D9C64B0D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E8E8F350-F074-4C89-97B7-81A38EDC012C}">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85836FE5-5A9C-4786-9A17-95BCA187E0E2}">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7277B8E3-BC1B-48DF-9319-97459920806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4F74CAEF-6AAF-4672-BC81-CDCDE61F41D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8DF59B17-D5D2-43B6-9463-1CA808196BCC}">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86F646FE-B84A-4941-AA59-7FCBD775A33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BB1179AF-88FC-4BF2-9BBD-644437D6B7AE}">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2D033558-08F1-42F5-AEBB-C5122CB5EA9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75203D64-CF43-484B-BF29-C7BB2104A05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B2DCA6C8-C301-47A3-9B4A-A81A9632C26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4E1DBE41-87F5-4DAE-B54E-4BB066BB41A1}">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762E676E-16BF-41D9-A586-9B8653C53E3F}">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F72BEBB5-08F6-4314-AF9A-9760B2790D75}">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7F94AEB0-D520-4012-82B8-45C8D828FDB3}">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D5BE4B57-1093-46D1-87C5-AFDD79F9C0A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2B43F3B9-4010-4830-8FC3-D48E7EDF53E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B2EA855A-9069-4C67-A141-ACC1D49D36E8}">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F41EA43-E7B6-4621-9F50-238E0E04508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0FB3C309-6089-4E7B-BD7E-FA2E642F30E2}">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A64679A1-A97A-41E7-B58C-1403FCBDAAC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5" authorId="0" shapeId="0" xr:uid="{490E73D3-68E2-421E-81ED-4FD9E35C5D28}">
      <text>
        <r>
          <rPr>
            <b/>
            <sz val="9"/>
            <color indexed="81"/>
            <rFont val="Tahoma"/>
            <family val="2"/>
          </rPr>
          <t>GROUP A:</t>
        </r>
        <r>
          <rPr>
            <sz val="9"/>
            <color indexed="81"/>
            <rFont val="Tahoma"/>
            <family val="2"/>
          </rPr>
          <t xml:space="preserve">
Requires no training at all and generally will not involve complex technology.</t>
        </r>
      </text>
    </comment>
    <comment ref="D25" authorId="0" shapeId="0" xr:uid="{32FF4D5B-0629-4E8E-8328-9BC35A306A5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5" authorId="0" shapeId="0" xr:uid="{F1D1F13B-12C8-40A9-8694-B9E0BBB5172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5" authorId="0" shapeId="0" xr:uid="{53AD4534-07C1-417C-B69B-4B26E008E23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5" authorId="0" shapeId="0" xr:uid="{1D78BD93-76F0-4557-B1F6-A7B8B533A56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5" authorId="0" shapeId="0" xr:uid="{EA38DE18-6FDC-4715-87F2-E5C784D10F8F}">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26" authorId="0" shapeId="0" xr:uid="{FBFE0DC1-0EBF-446D-B3A7-870B8C6883F2}">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27" authorId="0" shapeId="0" xr:uid="{3B6CA3EC-CDB2-48FA-A9A3-71EEAADBAFC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28" authorId="0" shapeId="0" xr:uid="{AD32AD3D-DA8C-40C4-9999-DBF36986E9E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29" authorId="0" shapeId="0" xr:uid="{FD02DB28-C067-4FAC-9BFF-7C2A015C5D7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A79211ED-F005-41AF-B299-49CA172013EB}">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8F9D2EF0-B155-48DD-BA10-AC9BD3CAF1F9}">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FBEAD4A0-F902-4197-AC6D-A2F640D510F2}">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B998DBA-1462-48A6-9A7E-BC4A933263F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7B53C80F-3FAC-45EB-954A-816646A8C4A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16327397-EB69-42A9-8C36-41ABB8E51A50}">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50CAD6E9-3B56-4EC1-BF97-FB8FEC57EF28}">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C02CF6CE-79C3-40EA-8DB1-DC51718DF63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CDA8176-C261-49DF-81A2-310B514D8E26}">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C09098AA-4ED3-4BF2-A09D-65B389CD7CC6}">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51686C83-8A40-4E79-9929-33AB3342096E}">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16D6A7F2-9F94-40BE-9291-4757348D1B00}">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07D9AC0E-A82C-4F00-A091-8D64D4FE5A3C}">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EE8740D8-5361-4412-BB71-254F8702762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14EB0AC3-0A47-482E-BBD7-156B7A94CCB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619D2CAA-2DD0-4590-BCA4-ADC87B097B2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FC2C7993-6EED-4866-A38A-8BA0E3D5DA3E}">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737A5D30-838A-4817-BAED-DC4D0EEEF6A6}">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F5649047-4007-4A66-B2E4-BC74AC855F7C}">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768A5655-7DC6-48D3-A910-ED15259FA78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DEE39095-8321-45F4-B7F1-69ED1764B425}">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E99669C1-6B9A-41BF-B6CC-CFC6C7CC3172}">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3AF45FBD-CB92-4685-97F9-89079E48B0A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A07A92C7-AD91-4FCF-8B8A-6FA00E022F3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A1592376-4D29-4DA0-B130-0EBBE1277AB5}">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04E507CA-A784-4221-94C3-BD200CB1B57C}">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3AEBE739-6050-4B2F-8607-26EA3274730E}">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95E0BD2C-0BDB-4519-A5B9-83720DF16D5D}">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B522DF8F-A06F-46C0-B25A-A7C9EC88A04F}">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829C8704-C941-4D96-8143-073AEEAC26AE}">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3C92FECE-039F-45F5-A808-798BDCEBB15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73380A31-CF73-49AF-A5E2-082E2FC0236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24DCC2E3-BDAE-4AE3-BE58-EC55241EE07A}">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D709F088-7CBF-42FA-847C-FA2F60198836}">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33B347C8-C12C-41AC-B361-F1BCEA9335A3}">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2122AAC6-7745-453A-8D52-16E9DC50868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2B588A4D-0153-4975-A0F3-2F6512B5DB6B}">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206350E9-8AB3-4038-B28C-C47269F2ABED}">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63EA1C46-A070-42BE-8998-E05DD2BCE52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75ECB49F-D3D7-4DC4-8AE8-1ECE3C42360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5" authorId="0" shapeId="0" xr:uid="{41CD2A07-6BB8-4861-AF82-B5CB94A9DECA}">
      <text>
        <r>
          <rPr>
            <b/>
            <sz val="9"/>
            <color indexed="81"/>
            <rFont val="Tahoma"/>
            <family val="2"/>
          </rPr>
          <t>GROUP A:</t>
        </r>
        <r>
          <rPr>
            <sz val="9"/>
            <color indexed="81"/>
            <rFont val="Tahoma"/>
            <family val="2"/>
          </rPr>
          <t xml:space="preserve">
Requires no training at all and generally will not involve complex technology.</t>
        </r>
      </text>
    </comment>
    <comment ref="D25" authorId="0" shapeId="0" xr:uid="{5D449AF5-3A7B-4250-8DB7-4273DEA5851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5" authorId="0" shapeId="0" xr:uid="{A9DECCDC-CC1B-4595-B404-CB761DD1A87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5" authorId="0" shapeId="0" xr:uid="{5A6FAC45-9C74-4634-82C6-C3B88F48152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5" authorId="0" shapeId="0" xr:uid="{CCA126E5-FD8F-4122-B4B9-0C41293E3B4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5" authorId="0" shapeId="0" xr:uid="{CAFB7C2C-1D9B-43BC-800B-D043E7A84A15}">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26" authorId="0" shapeId="0" xr:uid="{00D40F7D-18BB-4E45-8C2A-6A37543A4B1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27" authorId="0" shapeId="0" xr:uid="{1F9D3BCE-EEB7-47A4-9707-8517B54E909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28" authorId="0" shapeId="0" xr:uid="{7BFB16F1-ABBE-496B-A2C1-1D719A9E5F9F}">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29" authorId="0" shapeId="0" xr:uid="{9C5D28B8-3E9C-4242-8DFC-5E76BAAFDD2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sharedStrings.xml><?xml version="1.0" encoding="utf-8"?>
<sst xmlns="http://schemas.openxmlformats.org/spreadsheetml/2006/main" count="1087" uniqueCount="139">
  <si>
    <t>Skill Level</t>
  </si>
  <si>
    <t>FTE</t>
  </si>
  <si>
    <t>Role Description</t>
  </si>
  <si>
    <t>Year</t>
  </si>
  <si>
    <t>Count of Conditions</t>
  </si>
  <si>
    <t>Number of Patients</t>
  </si>
  <si>
    <t>Period</t>
  </si>
  <si>
    <t>Baseline</t>
  </si>
  <si>
    <t>Forecast</t>
  </si>
  <si>
    <t>Conditions</t>
  </si>
  <si>
    <t>Population</t>
  </si>
  <si>
    <t>% of Popn</t>
  </si>
  <si>
    <t>Segment Description</t>
  </si>
  <si>
    <t>From (&gt;=)</t>
  </si>
  <si>
    <t>To (&lt;)</t>
  </si>
  <si>
    <t>% Growth</t>
  </si>
  <si>
    <t>Green</t>
  </si>
  <si>
    <t>Amber</t>
  </si>
  <si>
    <t>Blue</t>
  </si>
  <si>
    <t>Red</t>
  </si>
  <si>
    <t>Nurse</t>
  </si>
  <si>
    <t>B</t>
  </si>
  <si>
    <t>C</t>
  </si>
  <si>
    <t>D</t>
  </si>
  <si>
    <t>E</t>
  </si>
  <si>
    <t>F</t>
  </si>
  <si>
    <t>Group</t>
  </si>
  <si>
    <t>Role Category</t>
  </si>
  <si>
    <t>Original Horizon 2035 Matrix</t>
  </si>
  <si>
    <t>Task</t>
  </si>
  <si>
    <t>Overall</t>
  </si>
  <si>
    <t>Prevent</t>
  </si>
  <si>
    <t>Enable</t>
  </si>
  <si>
    <t>Assess</t>
  </si>
  <si>
    <t>Plan</t>
  </si>
  <si>
    <t>Treat</t>
  </si>
  <si>
    <t>Rehabilitate</t>
  </si>
  <si>
    <t>Relieve</t>
  </si>
  <si>
    <t>Link</t>
  </si>
  <si>
    <t>Assessment and Planning</t>
  </si>
  <si>
    <t>Treatment and Relieving</t>
  </si>
  <si>
    <t>Prevention, Enablement and Rehabilitation</t>
  </si>
  <si>
    <t>Linking</t>
  </si>
  <si>
    <t>Revised Horizon 2035 Matrix</t>
  </si>
  <si>
    <t>Workforce Group Standardised Revised Horizon 2035 Matrix</t>
  </si>
  <si>
    <t>A</t>
  </si>
  <si>
    <t>Green Segment</t>
  </si>
  <si>
    <t>Amber Segment</t>
  </si>
  <si>
    <t>Blue Segment</t>
  </si>
  <si>
    <t>Red Segment</t>
  </si>
  <si>
    <t>Segment</t>
  </si>
  <si>
    <t>Weeks per FTE</t>
  </si>
  <si>
    <t>Hours per Week</t>
  </si>
  <si>
    <t>Workforce Group Standardised - Revised Horizon 2035 Matrix</t>
  </si>
  <si>
    <t>Workforce Split by Group and Population Segment</t>
  </si>
  <si>
    <t>Workforce Hours per Year by Group</t>
  </si>
  <si>
    <t>Workforce Group</t>
  </si>
  <si>
    <t>Hour per FTE</t>
  </si>
  <si>
    <t>Digital and Transformation Lead</t>
  </si>
  <si>
    <t>Managers</t>
  </si>
  <si>
    <t>Apprentices</t>
  </si>
  <si>
    <t>Estates and Ancillary</t>
  </si>
  <si>
    <t>Management Partners</t>
  </si>
  <si>
    <t>Medical Secretaries</t>
  </si>
  <si>
    <t>Other Admin and Non-Clinical</t>
  </si>
  <si>
    <t>Telephonists</t>
  </si>
  <si>
    <t>Receptionists</t>
  </si>
  <si>
    <t>Non-clinical Director</t>
  </si>
  <si>
    <t>GP Partners</t>
  </si>
  <si>
    <t>GP Regular Locums</t>
  </si>
  <si>
    <t>GP Retainers</t>
  </si>
  <si>
    <t>Salaried GPs (exclude those funded by ARRS)</t>
  </si>
  <si>
    <t>Medical Clinical Director (GP)</t>
  </si>
  <si>
    <t>Salaried GPs (ARRS funded)</t>
  </si>
  <si>
    <t>GPs in Training Grade</t>
  </si>
  <si>
    <t>Advanced Nurse Practitioners</t>
  </si>
  <si>
    <t>Clinical Director (Nurse)</t>
  </si>
  <si>
    <t>Advanced Dietician Practitioners</t>
  </si>
  <si>
    <t>Advanced Occupational Therapist Practitioners</t>
  </si>
  <si>
    <t>Advanced Paramedic Practitioners</t>
  </si>
  <si>
    <t>Advanced Pharmacist Practitioners</t>
  </si>
  <si>
    <t>Advanced Physiotherapist Practitioners</t>
  </si>
  <si>
    <t>Advanced Podiatrist Practitioners</t>
  </si>
  <si>
    <t>Clinical Director (Direct Patient Care)</t>
  </si>
  <si>
    <t>Extended Role Practice Nurses</t>
  </si>
  <si>
    <t>Nurse Dispensers</t>
  </si>
  <si>
    <t>Nurse Specialists</t>
  </si>
  <si>
    <t>Nursing Partners</t>
  </si>
  <si>
    <t>Other Nurses</t>
  </si>
  <si>
    <t>Apprentice Physician Associates</t>
  </si>
  <si>
    <t>Pharmacists</t>
  </si>
  <si>
    <t>Physician Associates</t>
  </si>
  <si>
    <t>Practice Nurses</t>
  </si>
  <si>
    <t>Adult Mental Health Practitioners</t>
  </si>
  <si>
    <t>Children and Young Persons Mental Health Practitioners</t>
  </si>
  <si>
    <t>Dietitian</t>
  </si>
  <si>
    <t>Nursing Associates</t>
  </si>
  <si>
    <t>Occupational Therapists</t>
  </si>
  <si>
    <t>Paramedics</t>
  </si>
  <si>
    <t>Physiotherapists</t>
  </si>
  <si>
    <t>Podiatrists</t>
  </si>
  <si>
    <t>NHS Talking Therapies (previously referred to as IAPT) Staff</t>
  </si>
  <si>
    <t>Trainee NHS Talking Therapies (previously referred to as IAPT) Staff</t>
  </si>
  <si>
    <t>Trainee Nurses</t>
  </si>
  <si>
    <t>Care Coordinators</t>
  </si>
  <si>
    <t>General Practice Assistant</t>
  </si>
  <si>
    <t>Health and Wellbeing Coaches</t>
  </si>
  <si>
    <t>Pharmacy Technicians</t>
  </si>
  <si>
    <t>Social Prescribing Link Workers</t>
  </si>
  <si>
    <t>Trainee Nursing Associates</t>
  </si>
  <si>
    <t>ARRS Others (re PCN 24/25 section DES section 7.3.2.-A)</t>
  </si>
  <si>
    <t>Apprentices (excluding apprentice physician associate)</t>
  </si>
  <si>
    <t>Dispensers</t>
  </si>
  <si>
    <t>Health Support Workers</t>
  </si>
  <si>
    <t>Healthcare Assistants</t>
  </si>
  <si>
    <t>Phlebotomists</t>
  </si>
  <si>
    <t>Other Direct Patient Care Not ARRS Funded</t>
  </si>
  <si>
    <t>Consultant</t>
  </si>
  <si>
    <t>Non-Consultant Career Grades (excl Resident Drs)</t>
  </si>
  <si>
    <t>Resident Doctors (excluding Foundation)</t>
  </si>
  <si>
    <t>Foundation Trainees</t>
  </si>
  <si>
    <t>Registered nursing, midwifery and health visiting staff</t>
  </si>
  <si>
    <t>Allied Health Profess'nals (excl. Paramedics)</t>
  </si>
  <si>
    <t>Other S, T &amp; T</t>
  </si>
  <si>
    <t>Healthcare Scientists</t>
  </si>
  <si>
    <t>Support to Nursing</t>
  </si>
  <si>
    <t>Support to Allied Health Professionals</t>
  </si>
  <si>
    <t>Support to other S, T &amp; T</t>
  </si>
  <si>
    <t>Support to Health Care Scientists</t>
  </si>
  <si>
    <t xml:space="preserve">Total NHS infrastructure support </t>
  </si>
  <si>
    <t>Any other staff</t>
  </si>
  <si>
    <t>OT</t>
  </si>
  <si>
    <t>Social Worker</t>
  </si>
  <si>
    <t>Direct Care</t>
  </si>
  <si>
    <t>Other Social Care</t>
  </si>
  <si>
    <t>NA</t>
  </si>
  <si>
    <t>GP and PCN</t>
  </si>
  <si>
    <t>SFT</t>
  </si>
  <si>
    <t>Social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</si>
</sst>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color rgb="FFE3E3E3"/>
      <name val="Aptos Narrow"/>
      <family val="2"/>
      <scheme val="minor"/>
    </font>
    <font>
      <b/>
      <sz val="11"/>
      <color rgb="FFE3E3E3"/>
      <name val="Aptos Narrow"/>
      <family val="2"/>
      <scheme val="minor"/>
    </font>
    <font>
      <b/>
      <sz val="9"/>
      <color indexed="81"/>
      <name val="Tahoma"/>
      <family val="2"/>
    </font>
    <font>
      <sz val="9"/>
      <color indexed="81"/>
      <name val="Tahoma"/>
      <family val="2"/>
    </font>
    <font>
      <b/>
      <sz val="11"/>
      <color theme="0" tint="-0.499984740745262"/>
      <name val="Aptos Narrow"/>
      <family val="2"/>
      <scheme val="minor"/>
    </font>
    <font>
      <sz val="11"/>
      <color theme="0" tint="-0.499984740745262"/>
      <name val="Aptos Narrow"/>
      <family val="2"/>
      <scheme val="minor"/>
    </font>
    <font>
      <b/>
      <sz val="11"/>
      <color theme="2" tint="-0.749992370372631"/>
      <name val="Aptos Narrow"/>
      <family val="2"/>
      <scheme val="minor"/>
    </font>
    <font>
      <sz val="11"/>
      <color theme="2" tint="-0.749992370372631"/>
      <name val="Aptos Narrow"/>
      <family val="2"/>
      <scheme val="minor"/>
    </font>
  </fonts>
  <fills count="17">
    <fill>
      <patternFill patternType="none"/>
    </fill>
    <fill>
      <patternFill patternType="gray125"/>
    </fill>
    <fill>
      <patternFill patternType="solid">
        <fgColor theme="0"/>
        <bgColor indexed="64"/>
      </patternFill>
    </fill>
    <fill>
      <patternFill patternType="solid">
        <fgColor rgb="FF293894"/>
        <bgColor indexed="64"/>
      </patternFill>
    </fill>
    <fill>
      <patternFill patternType="solid">
        <fgColor theme="3" tint="0.749992370372631"/>
        <bgColor indexed="64"/>
      </patternFill>
    </fill>
    <fill>
      <patternFill patternType="solid">
        <fgColor rgb="FF74C476"/>
        <bgColor indexed="64"/>
      </patternFill>
    </fill>
    <fill>
      <patternFill patternType="solid">
        <fgColor rgb="FFFFC00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3" tint="0.749961851863155"/>
        <bgColor indexed="64"/>
      </patternFill>
    </fill>
    <fill>
      <patternFill patternType="solid">
        <fgColor theme="0" tint="-4.9989318521683403E-2"/>
        <bgColor indexed="64"/>
      </patternFill>
    </fill>
    <fill>
      <patternFill patternType="solid">
        <fgColor rgb="FF00ABBD"/>
        <bgColor indexed="64"/>
      </patternFill>
    </fill>
    <fill>
      <patternFill patternType="solid">
        <fgColor rgb="FFBAE2BB"/>
        <bgColor indexed="64"/>
      </patternFill>
    </fill>
    <fill>
      <patternFill patternType="solid">
        <fgColor rgb="FFCEE1F4"/>
        <bgColor indexed="64"/>
      </patternFill>
    </fill>
    <fill>
      <patternFill patternType="solid">
        <fgColor rgb="FFFFE799"/>
        <bgColor indexed="64"/>
      </patternFill>
    </fill>
    <fill>
      <patternFill patternType="solid">
        <fgColor rgb="FFFF9999"/>
        <bgColor indexed="64"/>
      </patternFill>
    </fill>
    <fill>
      <patternFill patternType="solid">
        <fgColor theme="0" tint="-0.14996795556505021"/>
        <bgColor indexed="64"/>
      </patternFill>
    </fill>
  </fills>
  <borders count="34">
    <border>
      <left/>
      <right/>
      <top/>
      <bottom/>
      <diagonal/>
    </border>
    <border>
      <left/>
      <right/>
      <top/>
      <bottom style="thin">
        <color rgb="FF293894"/>
      </bottom>
      <diagonal/>
    </border>
    <border>
      <left style="thin">
        <color rgb="FF00ABBD"/>
      </left>
      <right style="thin">
        <color rgb="FF00ABBD"/>
      </right>
      <top/>
      <bottom/>
      <diagonal/>
    </border>
    <border>
      <left/>
      <right/>
      <top/>
      <bottom style="double">
        <color rgb="FF00ABBD"/>
      </bottom>
      <diagonal/>
    </border>
    <border>
      <left style="thin">
        <color rgb="FF00ABBD"/>
      </left>
      <right style="thin">
        <color rgb="FF00ABBD"/>
      </right>
      <top/>
      <bottom style="double">
        <color rgb="FF00ABBD"/>
      </bottom>
      <diagonal/>
    </border>
    <border>
      <left style="thin">
        <color rgb="FF00ABBD"/>
      </left>
      <right/>
      <top/>
      <bottom/>
      <diagonal/>
    </border>
    <border>
      <left style="thin">
        <color rgb="FF00ABBD"/>
      </left>
      <right/>
      <top/>
      <bottom style="double">
        <color rgb="FF00ABBD"/>
      </bottom>
      <diagonal/>
    </border>
    <border>
      <left/>
      <right/>
      <top/>
      <bottom style="thin">
        <color rgb="FF0070C0"/>
      </bottom>
      <diagonal/>
    </border>
    <border>
      <left style="thin">
        <color rgb="FF0070C0"/>
      </left>
      <right/>
      <top/>
      <bottom style="thin">
        <color rgb="FF0070C0"/>
      </bottom>
      <diagonal/>
    </border>
    <border>
      <left style="thin">
        <color rgb="FF0070C0"/>
      </left>
      <right/>
      <top/>
      <bottom/>
      <diagonal/>
    </border>
    <border>
      <left/>
      <right style="thin">
        <color rgb="FF0070C0"/>
      </right>
      <top/>
      <bottom/>
      <diagonal/>
    </border>
    <border>
      <left/>
      <right style="thin">
        <color rgb="FF0070C0"/>
      </right>
      <top/>
      <bottom style="thin">
        <color rgb="FF0070C0"/>
      </bottom>
      <diagonal/>
    </border>
    <border>
      <left/>
      <right/>
      <top style="thin">
        <color rgb="FF0070C0"/>
      </top>
      <bottom/>
      <diagonal/>
    </border>
    <border>
      <left style="thin">
        <color rgb="FF0070C0"/>
      </left>
      <right/>
      <top style="thin">
        <color rgb="FF0070C0"/>
      </top>
      <bottom/>
      <diagonal/>
    </border>
    <border>
      <left/>
      <right style="thin">
        <color rgb="FF0070C0"/>
      </right>
      <top style="thin">
        <color rgb="FF0070C0"/>
      </top>
      <bottom/>
      <diagonal/>
    </border>
    <border>
      <left style="thin">
        <color rgb="FF293894"/>
      </left>
      <right/>
      <top/>
      <bottom/>
      <diagonal/>
    </border>
    <border>
      <left style="thin">
        <color rgb="FF293894"/>
      </left>
      <right/>
      <top/>
      <bottom style="thin">
        <color rgb="FF293894"/>
      </bottom>
      <diagonal/>
    </border>
    <border>
      <left style="thin">
        <color rgb="FF293894"/>
      </left>
      <right/>
      <top style="thin">
        <color rgb="FF0070C0"/>
      </top>
      <bottom/>
      <diagonal/>
    </border>
    <border>
      <left style="thin">
        <color rgb="FF293894"/>
      </left>
      <right/>
      <top/>
      <bottom style="thin">
        <color rgb="FF0070C0"/>
      </bottom>
      <diagonal/>
    </border>
    <border>
      <left/>
      <right/>
      <top style="thin">
        <color rgb="FF293894"/>
      </top>
      <bottom/>
      <diagonal/>
    </border>
    <border>
      <left style="thin">
        <color rgb="FF293894"/>
      </left>
      <right/>
      <top style="thin">
        <color rgb="FF293894"/>
      </top>
      <bottom/>
      <diagonal/>
    </border>
    <border>
      <left style="thin">
        <color theme="0" tint="-0.24994659260841701"/>
      </left>
      <right/>
      <top/>
      <bottom/>
      <diagonal/>
    </border>
    <border>
      <left/>
      <right/>
      <top/>
      <bottom style="thin">
        <color theme="0" tint="-0.24994659260841701"/>
      </bottom>
      <diagonal/>
    </border>
    <border>
      <left style="thin">
        <color theme="0" tint="-0.24994659260841701"/>
      </left>
      <right/>
      <top/>
      <bottom style="thin">
        <color theme="0" tint="-0.24994659260841701"/>
      </bottom>
      <diagonal/>
    </border>
    <border>
      <left/>
      <right/>
      <top style="thin">
        <color theme="0" tint="-0.24994659260841701"/>
      </top>
      <bottom/>
      <diagonal/>
    </border>
    <border>
      <left style="thin">
        <color theme="0" tint="-0.24994659260841701"/>
      </left>
      <right/>
      <top style="thin">
        <color theme="0" tint="-0.24994659260841701"/>
      </top>
      <bottom/>
      <diagonal/>
    </border>
    <border>
      <left/>
      <right style="thin">
        <color rgb="FF293894"/>
      </right>
      <top style="thin">
        <color rgb="FF293894"/>
      </top>
      <bottom/>
      <diagonal/>
    </border>
    <border>
      <left/>
      <right/>
      <top style="thin">
        <color auto="1"/>
      </top>
      <bottom style="thin">
        <color auto="1"/>
      </bottom>
      <diagonal/>
    </border>
    <border>
      <left style="thin">
        <color rgb="FF0070C0"/>
      </left>
      <right/>
      <top style="thin">
        <color auto="1"/>
      </top>
      <bottom style="thin">
        <color auto="1"/>
      </bottom>
      <diagonal/>
    </border>
    <border>
      <left/>
      <right style="thin">
        <color rgb="FF293894"/>
      </right>
      <top/>
      <bottom/>
      <diagonal/>
    </border>
    <border>
      <left/>
      <right style="thin">
        <color rgb="FF293894"/>
      </right>
      <top/>
      <bottom style="thin">
        <color rgb="FF0070C0"/>
      </bottom>
      <diagonal/>
    </border>
    <border>
      <left/>
      <right style="thin">
        <color rgb="FF293894"/>
      </right>
      <top style="thin">
        <color rgb="FF0070C0"/>
      </top>
      <bottom/>
      <diagonal/>
    </border>
    <border>
      <left style="thin">
        <color rgb="FF293894"/>
      </left>
      <right/>
      <top style="thin">
        <color auto="1"/>
      </top>
      <bottom style="thin">
        <color auto="1"/>
      </bottom>
      <diagonal/>
    </border>
    <border>
      <left/>
      <right style="thin">
        <color rgb="FF293894"/>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32">
    <xf numFmtId="0" fontId="0" fillId="0" borderId="0" xfId="0"/>
    <xf numFmtId="0" fontId="3" fillId="2" borderId="0" xfId="0" applyFont="1" applyFill="1"/>
    <xf numFmtId="0" fontId="0" fillId="2" borderId="0" xfId="0" applyFill="1"/>
    <xf numFmtId="0" fontId="0" fillId="2" borderId="2" xfId="0" applyFill="1" applyBorder="1"/>
    <xf numFmtId="0" fontId="2" fillId="3" borderId="3" xfId="0" applyFont="1" applyFill="1" applyBorder="1"/>
    <xf numFmtId="0" fontId="0" fillId="2" borderId="5" xfId="0" applyFill="1" applyBorder="1"/>
    <xf numFmtId="0" fontId="2" fillId="3" borderId="4" xfId="0" applyFont="1" applyFill="1" applyBorder="1" applyAlignment="1">
      <alignment horizontal="right"/>
    </xf>
    <xf numFmtId="0" fontId="2" fillId="3" borderId="6" xfId="0" applyFont="1" applyFill="1" applyBorder="1" applyAlignment="1">
      <alignment horizontal="right"/>
    </xf>
    <xf numFmtId="0" fontId="2" fillId="3" borderId="3" xfId="0" applyFont="1" applyFill="1" applyBorder="1" applyAlignment="1">
      <alignment horizontal="right"/>
    </xf>
    <xf numFmtId="0" fontId="4" fillId="2" borderId="0" xfId="0" applyFont="1" applyFill="1"/>
    <xf numFmtId="0" fontId="3" fillId="4" borderId="7" xfId="0" applyFont="1" applyFill="1" applyBorder="1"/>
    <xf numFmtId="0" fontId="3" fillId="4" borderId="8" xfId="0" applyFont="1" applyFill="1" applyBorder="1"/>
    <xf numFmtId="0" fontId="0" fillId="2" borderId="9" xfId="0" applyFill="1" applyBorder="1"/>
    <xf numFmtId="0" fontId="0" fillId="5" borderId="0" xfId="0" applyFill="1"/>
    <xf numFmtId="0" fontId="0" fillId="2" borderId="10" xfId="0" applyFill="1" applyBorder="1"/>
    <xf numFmtId="164" fontId="0" fillId="2" borderId="9" xfId="0" applyNumberFormat="1" applyFill="1" applyBorder="1"/>
    <xf numFmtId="164" fontId="0" fillId="2" borderId="10" xfId="0" applyNumberFormat="1" applyFill="1" applyBorder="1"/>
    <xf numFmtId="164" fontId="0" fillId="2" borderId="0" xfId="0" applyNumberFormat="1" applyFill="1"/>
    <xf numFmtId="0" fontId="0" fillId="6" borderId="0" xfId="0" applyFill="1"/>
    <xf numFmtId="0" fontId="0" fillId="4" borderId="0" xfId="0" applyFill="1"/>
    <xf numFmtId="0" fontId="5" fillId="7" borderId="7" xfId="0" applyFont="1" applyFill="1" applyBorder="1"/>
    <xf numFmtId="0" fontId="0" fillId="2" borderId="8" xfId="0" applyFill="1" applyBorder="1"/>
    <xf numFmtId="0" fontId="0" fillId="2" borderId="7" xfId="0" applyFill="1" applyBorder="1"/>
    <xf numFmtId="0" fontId="0" fillId="2" borderId="11" xfId="0" applyFill="1" applyBorder="1"/>
    <xf numFmtId="164" fontId="0" fillId="2" borderId="8" xfId="0" applyNumberFormat="1" applyFill="1" applyBorder="1"/>
    <xf numFmtId="164" fontId="0" fillId="2" borderId="11" xfId="0" applyNumberFormat="1" applyFill="1" applyBorder="1"/>
    <xf numFmtId="164" fontId="0" fillId="2" borderId="7" xfId="0" applyNumberFormat="1" applyFill="1" applyBorder="1"/>
    <xf numFmtId="0" fontId="0" fillId="8" borderId="9" xfId="0" applyFill="1" applyBorder="1"/>
    <xf numFmtId="0" fontId="0" fillId="8" borderId="10" xfId="0" applyFill="1" applyBorder="1"/>
    <xf numFmtId="0" fontId="3" fillId="4" borderId="8" xfId="0" applyFont="1" applyFill="1" applyBorder="1" applyAlignment="1">
      <alignment horizontal="right"/>
    </xf>
    <xf numFmtId="0" fontId="3" fillId="4" borderId="11" xfId="0" applyFont="1" applyFill="1" applyBorder="1" applyAlignment="1">
      <alignment horizontal="right"/>
    </xf>
    <xf numFmtId="0" fontId="3" fillId="5" borderId="0" xfId="0" applyFont="1" applyFill="1"/>
    <xf numFmtId="0" fontId="3" fillId="6" borderId="0" xfId="0" applyFont="1" applyFill="1"/>
    <xf numFmtId="0" fontId="3" fillId="4" borderId="0" xfId="0" applyFont="1" applyFill="1"/>
    <xf numFmtId="0" fontId="6" fillId="7" borderId="7" xfId="0" applyFont="1" applyFill="1" applyBorder="1"/>
    <xf numFmtId="0" fontId="0" fillId="2" borderId="2" xfId="0" applyFill="1" applyBorder="1" applyAlignment="1">
      <alignment horizontal="right"/>
    </xf>
    <xf numFmtId="0" fontId="0" fillId="2" borderId="0" xfId="0" applyFill="1" applyAlignment="1">
      <alignment horizontal="right"/>
    </xf>
    <xf numFmtId="0" fontId="3" fillId="8" borderId="7" xfId="0" applyFont="1" applyFill="1" applyBorder="1"/>
    <xf numFmtId="0" fontId="3" fillId="8" borderId="8" xfId="0" applyFont="1" applyFill="1" applyBorder="1"/>
    <xf numFmtId="0" fontId="3" fillId="8" borderId="11" xfId="0" applyFont="1" applyFill="1" applyBorder="1"/>
    <xf numFmtId="0" fontId="3" fillId="9" borderId="7" xfId="0" applyFont="1" applyFill="1" applyBorder="1"/>
    <xf numFmtId="10" fontId="0" fillId="2" borderId="9" xfId="1" applyNumberFormat="1" applyFont="1" applyFill="1" applyBorder="1"/>
    <xf numFmtId="10" fontId="0" fillId="2" borderId="0" xfId="1" applyNumberFormat="1" applyFont="1" applyFill="1" applyBorder="1"/>
    <xf numFmtId="10" fontId="0" fillId="2" borderId="10" xfId="1" applyNumberFormat="1" applyFont="1" applyFill="1" applyBorder="1"/>
    <xf numFmtId="10" fontId="1" fillId="8" borderId="0" xfId="1" applyNumberFormat="1" applyFont="1" applyFill="1" applyBorder="1"/>
    <xf numFmtId="0" fontId="3" fillId="8" borderId="12" xfId="0" applyFont="1" applyFill="1" applyBorder="1"/>
    <xf numFmtId="10" fontId="1" fillId="8" borderId="13" xfId="1" applyNumberFormat="1" applyFont="1" applyFill="1" applyBorder="1"/>
    <xf numFmtId="10" fontId="1" fillId="8" borderId="12" xfId="1" applyNumberFormat="1" applyFont="1" applyFill="1" applyBorder="1"/>
    <xf numFmtId="10" fontId="1" fillId="8" borderId="14" xfId="1" applyNumberFormat="1" applyFont="1" applyFill="1" applyBorder="1"/>
    <xf numFmtId="2" fontId="3" fillId="9" borderId="8" xfId="0" applyNumberFormat="1" applyFont="1" applyFill="1" applyBorder="1" applyAlignment="1">
      <alignment horizontal="right"/>
    </xf>
    <xf numFmtId="2" fontId="3" fillId="9" borderId="7" xfId="0" applyNumberFormat="1" applyFont="1" applyFill="1" applyBorder="1" applyAlignment="1">
      <alignment horizontal="right"/>
    </xf>
    <xf numFmtId="2" fontId="3" fillId="9" borderId="11" xfId="0" applyNumberFormat="1" applyFont="1" applyFill="1" applyBorder="1" applyAlignment="1">
      <alignment horizontal="right"/>
    </xf>
    <xf numFmtId="164" fontId="0" fillId="2" borderId="9" xfId="1" applyNumberFormat="1" applyFont="1" applyFill="1" applyBorder="1" applyAlignment="1"/>
    <xf numFmtId="164" fontId="0" fillId="2" borderId="0" xfId="1" applyNumberFormat="1" applyFont="1" applyFill="1" applyBorder="1" applyAlignment="1"/>
    <xf numFmtId="164" fontId="0" fillId="2" borderId="10" xfId="1" applyNumberFormat="1" applyFont="1" applyFill="1" applyBorder="1" applyAlignment="1"/>
    <xf numFmtId="164" fontId="1" fillId="8" borderId="0" xfId="1" applyNumberFormat="1" applyFont="1" applyFill="1" applyBorder="1" applyAlignment="1"/>
    <xf numFmtId="164" fontId="1" fillId="8" borderId="13" xfId="1" applyNumberFormat="1" applyFont="1" applyFill="1" applyBorder="1" applyAlignment="1"/>
    <xf numFmtId="164" fontId="1" fillId="8" borderId="12" xfId="1" applyNumberFormat="1" applyFont="1" applyFill="1" applyBorder="1" applyAlignment="1"/>
    <xf numFmtId="164" fontId="1" fillId="8" borderId="14" xfId="1" applyNumberFormat="1" applyFont="1" applyFill="1" applyBorder="1" applyAlignment="1"/>
    <xf numFmtId="164" fontId="0" fillId="2" borderId="9" xfId="1" applyNumberFormat="1" applyFont="1" applyFill="1" applyBorder="1"/>
    <xf numFmtId="164" fontId="0" fillId="2" borderId="0" xfId="1" applyNumberFormat="1" applyFont="1" applyFill="1" applyBorder="1"/>
    <xf numFmtId="164" fontId="0" fillId="2" borderId="10" xfId="1" applyNumberFormat="1" applyFont="1" applyFill="1" applyBorder="1"/>
    <xf numFmtId="164" fontId="1" fillId="8" borderId="0" xfId="1" applyNumberFormat="1" applyFont="1" applyFill="1" applyBorder="1"/>
    <xf numFmtId="164" fontId="1" fillId="8" borderId="13" xfId="1" applyNumberFormat="1" applyFont="1" applyFill="1" applyBorder="1"/>
    <xf numFmtId="164" fontId="1" fillId="8" borderId="12" xfId="1" applyNumberFormat="1" applyFont="1" applyFill="1" applyBorder="1"/>
    <xf numFmtId="164" fontId="1" fillId="8" borderId="14" xfId="1" applyNumberFormat="1" applyFont="1" applyFill="1" applyBorder="1"/>
    <xf numFmtId="0" fontId="3" fillId="2" borderId="0" xfId="0" applyFont="1" applyFill="1" applyBorder="1"/>
    <xf numFmtId="164" fontId="0" fillId="2" borderId="13" xfId="1" applyNumberFormat="1" applyFont="1" applyFill="1" applyBorder="1"/>
    <xf numFmtId="164" fontId="0" fillId="2" borderId="12" xfId="1" applyNumberFormat="1" applyFont="1" applyFill="1" applyBorder="1"/>
    <xf numFmtId="164" fontId="0" fillId="2" borderId="8" xfId="1" applyNumberFormat="1" applyFont="1" applyFill="1" applyBorder="1"/>
    <xf numFmtId="164" fontId="0" fillId="2" borderId="7" xfId="1" applyNumberFormat="1" applyFont="1" applyFill="1" applyBorder="1"/>
    <xf numFmtId="0" fontId="3" fillId="10" borderId="12" xfId="0" applyFont="1" applyFill="1" applyBorder="1"/>
    <xf numFmtId="164" fontId="1" fillId="10" borderId="13" xfId="1" applyNumberFormat="1" applyFont="1" applyFill="1" applyBorder="1"/>
    <xf numFmtId="164" fontId="1" fillId="10" borderId="12" xfId="1" applyNumberFormat="1" applyFont="1" applyFill="1" applyBorder="1"/>
    <xf numFmtId="0" fontId="0" fillId="2" borderId="13" xfId="1" applyNumberFormat="1" applyFont="1" applyFill="1" applyBorder="1"/>
    <xf numFmtId="0" fontId="0" fillId="2" borderId="12" xfId="1" applyNumberFormat="1" applyFont="1" applyFill="1" applyBorder="1"/>
    <xf numFmtId="0" fontId="0" fillId="2" borderId="9" xfId="1" applyNumberFormat="1" applyFont="1" applyFill="1" applyBorder="1"/>
    <xf numFmtId="0" fontId="0" fillId="2" borderId="0" xfId="1" applyNumberFormat="1" applyFont="1" applyFill="1" applyBorder="1"/>
    <xf numFmtId="0" fontId="1" fillId="10" borderId="13" xfId="1" applyNumberFormat="1" applyFont="1" applyFill="1" applyBorder="1"/>
    <xf numFmtId="0" fontId="1" fillId="10" borderId="12" xfId="1" applyNumberFormat="1" applyFont="1" applyFill="1" applyBorder="1"/>
    <xf numFmtId="164" fontId="0" fillId="8" borderId="0" xfId="1" applyNumberFormat="1" applyFont="1" applyFill="1" applyBorder="1"/>
    <xf numFmtId="2" fontId="2" fillId="3" borderId="8" xfId="0" applyNumberFormat="1" applyFont="1" applyFill="1" applyBorder="1" applyAlignment="1">
      <alignment horizontal="right"/>
    </xf>
    <xf numFmtId="2" fontId="2" fillId="3" borderId="7" xfId="0" applyNumberFormat="1" applyFont="1" applyFill="1" applyBorder="1" applyAlignment="1">
      <alignment horizontal="right"/>
    </xf>
    <xf numFmtId="2" fontId="2" fillId="3" borderId="11" xfId="0" applyNumberFormat="1" applyFont="1" applyFill="1" applyBorder="1" applyAlignment="1">
      <alignment horizontal="right"/>
    </xf>
    <xf numFmtId="0" fontId="2" fillId="3" borderId="7" xfId="0" applyFont="1" applyFill="1" applyBorder="1"/>
    <xf numFmtId="0" fontId="3" fillId="5" borderId="1" xfId="0" applyFont="1" applyFill="1" applyBorder="1"/>
    <xf numFmtId="0" fontId="3" fillId="5" borderId="1" xfId="0" applyFont="1" applyFill="1" applyBorder="1" applyAlignment="1">
      <alignment horizontal="right"/>
    </xf>
    <xf numFmtId="0" fontId="3" fillId="5" borderId="16" xfId="0" applyFont="1" applyFill="1" applyBorder="1" applyAlignment="1">
      <alignment horizontal="right"/>
    </xf>
    <xf numFmtId="164" fontId="0" fillId="2" borderId="15" xfId="1" applyNumberFormat="1" applyFont="1" applyFill="1" applyBorder="1"/>
    <xf numFmtId="0" fontId="3" fillId="5" borderId="16" xfId="0" applyFont="1" applyFill="1" applyBorder="1"/>
    <xf numFmtId="164" fontId="0" fillId="8" borderId="15" xfId="1" applyNumberFormat="1" applyFont="1" applyFill="1" applyBorder="1"/>
    <xf numFmtId="0" fontId="3" fillId="6" borderId="1" xfId="0" applyFont="1" applyFill="1" applyBorder="1"/>
    <xf numFmtId="0" fontId="3" fillId="6" borderId="16" xfId="0" applyFont="1" applyFill="1" applyBorder="1" applyAlignment="1">
      <alignment horizontal="right"/>
    </xf>
    <xf numFmtId="0" fontId="3" fillId="6" borderId="1" xfId="0" applyFont="1" applyFill="1" applyBorder="1" applyAlignment="1">
      <alignment horizontal="right"/>
    </xf>
    <xf numFmtId="0" fontId="3" fillId="10" borderId="19" xfId="0" applyFont="1" applyFill="1" applyBorder="1"/>
    <xf numFmtId="164" fontId="1" fillId="10" borderId="20" xfId="1" applyNumberFormat="1" applyFont="1" applyFill="1" applyBorder="1"/>
    <xf numFmtId="164" fontId="1" fillId="10" borderId="19" xfId="1" applyNumberFormat="1" applyFont="1" applyFill="1" applyBorder="1"/>
    <xf numFmtId="0" fontId="3" fillId="6" borderId="16" xfId="0" applyFont="1" applyFill="1" applyBorder="1"/>
    <xf numFmtId="0" fontId="6" fillId="7" borderId="1" xfId="0" applyFont="1" applyFill="1" applyBorder="1"/>
    <xf numFmtId="0" fontId="6" fillId="7" borderId="16" xfId="0" applyFont="1" applyFill="1" applyBorder="1" applyAlignment="1">
      <alignment horizontal="right"/>
    </xf>
    <xf numFmtId="0" fontId="6" fillId="7" borderId="1" xfId="0" applyFont="1" applyFill="1" applyBorder="1" applyAlignment="1">
      <alignment horizontal="right"/>
    </xf>
    <xf numFmtId="0" fontId="6" fillId="7" borderId="16" xfId="0" applyFont="1" applyFill="1" applyBorder="1"/>
    <xf numFmtId="0" fontId="3" fillId="4" borderId="1" xfId="0" applyFont="1" applyFill="1" applyBorder="1"/>
    <xf numFmtId="2" fontId="3" fillId="9" borderId="16" xfId="0" applyNumberFormat="1" applyFont="1" applyFill="1" applyBorder="1" applyAlignment="1">
      <alignment horizontal="right"/>
    </xf>
    <xf numFmtId="2" fontId="3" fillId="9" borderId="1" xfId="0" applyNumberFormat="1" applyFont="1" applyFill="1" applyBorder="1" applyAlignment="1">
      <alignment horizontal="right"/>
    </xf>
    <xf numFmtId="0" fontId="3" fillId="4" borderId="16" xfId="0" applyFont="1" applyFill="1" applyBorder="1"/>
    <xf numFmtId="0" fontId="0" fillId="2" borderId="19" xfId="0" applyFill="1" applyBorder="1"/>
    <xf numFmtId="164" fontId="1" fillId="2" borderId="0" xfId="1" applyNumberFormat="1" applyFont="1" applyFill="1" applyBorder="1"/>
    <xf numFmtId="0" fontId="10" fillId="2" borderId="0" xfId="0" applyFont="1" applyFill="1"/>
    <xf numFmtId="164" fontId="10" fillId="2" borderId="0" xfId="1" applyNumberFormat="1" applyFont="1" applyFill="1" applyBorder="1"/>
    <xf numFmtId="164" fontId="10" fillId="2" borderId="21" xfId="1" applyNumberFormat="1" applyFont="1" applyFill="1" applyBorder="1"/>
    <xf numFmtId="164" fontId="10" fillId="8" borderId="21" xfId="1" applyNumberFormat="1" applyFont="1" applyFill="1" applyBorder="1"/>
    <xf numFmtId="0" fontId="10" fillId="2" borderId="0" xfId="0" applyFont="1" applyFill="1" applyBorder="1"/>
    <xf numFmtId="0" fontId="9" fillId="10" borderId="22" xfId="0" applyFont="1" applyFill="1" applyBorder="1"/>
    <xf numFmtId="2" fontId="9" fillId="10" borderId="23" xfId="0" applyNumberFormat="1" applyFont="1" applyFill="1" applyBorder="1" applyAlignment="1">
      <alignment horizontal="right"/>
    </xf>
    <xf numFmtId="2" fontId="9" fillId="10" borderId="22" xfId="0" applyNumberFormat="1" applyFont="1" applyFill="1" applyBorder="1" applyAlignment="1">
      <alignment horizontal="right"/>
    </xf>
    <xf numFmtId="0" fontId="9" fillId="10" borderId="23" xfId="0" applyFont="1" applyFill="1" applyBorder="1"/>
    <xf numFmtId="0" fontId="9" fillId="10" borderId="24" xfId="0" applyFont="1" applyFill="1" applyBorder="1"/>
    <xf numFmtId="164" fontId="10" fillId="10" borderId="25" xfId="1" applyNumberFormat="1" applyFont="1" applyFill="1" applyBorder="1"/>
    <xf numFmtId="164" fontId="10" fillId="10" borderId="24" xfId="1" applyNumberFormat="1" applyFont="1" applyFill="1" applyBorder="1"/>
    <xf numFmtId="0" fontId="2" fillId="11" borderId="0" xfId="0" applyFont="1" applyFill="1" applyBorder="1"/>
    <xf numFmtId="165" fontId="2" fillId="11" borderId="9" xfId="0" applyNumberFormat="1" applyFont="1" applyFill="1" applyBorder="1" applyAlignment="1">
      <alignment horizontal="right"/>
    </xf>
    <xf numFmtId="165" fontId="2" fillId="11" borderId="0" xfId="0" applyNumberFormat="1" applyFont="1" applyFill="1" applyBorder="1" applyAlignment="1">
      <alignment horizontal="right"/>
    </xf>
    <xf numFmtId="3" fontId="1" fillId="10" borderId="13" xfId="1" applyNumberFormat="1" applyFont="1" applyFill="1" applyBorder="1"/>
    <xf numFmtId="3" fontId="1" fillId="10" borderId="12" xfId="1" applyNumberFormat="1" applyFont="1" applyFill="1" applyBorder="1"/>
    <xf numFmtId="3" fontId="0" fillId="2" borderId="13" xfId="1" applyNumberFormat="1" applyFont="1" applyFill="1" applyBorder="1"/>
    <xf numFmtId="3" fontId="0" fillId="2" borderId="9" xfId="1" applyNumberFormat="1" applyFont="1" applyFill="1" applyBorder="1"/>
    <xf numFmtId="3" fontId="0" fillId="2" borderId="8" xfId="1" applyNumberFormat="1" applyFont="1" applyFill="1" applyBorder="1"/>
    <xf numFmtId="3" fontId="0" fillId="2" borderId="12" xfId="1" applyNumberFormat="1" applyFont="1" applyFill="1" applyBorder="1"/>
    <xf numFmtId="3" fontId="0" fillId="2" borderId="0" xfId="1" applyNumberFormat="1" applyFont="1" applyFill="1" applyBorder="1"/>
    <xf numFmtId="3" fontId="0" fillId="2" borderId="7" xfId="1" applyNumberFormat="1" applyFont="1" applyFill="1" applyBorder="1"/>
    <xf numFmtId="3" fontId="1" fillId="10" borderId="20" xfId="1" applyNumberFormat="1" applyFont="1" applyFill="1" applyBorder="1"/>
    <xf numFmtId="3" fontId="1" fillId="10" borderId="19" xfId="1" applyNumberFormat="1" applyFont="1" applyFill="1" applyBorder="1"/>
    <xf numFmtId="3" fontId="0" fillId="2" borderId="15" xfId="1" applyNumberFormat="1" applyFont="1" applyFill="1" applyBorder="1"/>
    <xf numFmtId="3" fontId="10" fillId="10" borderId="25" xfId="1" applyNumberFormat="1" applyFont="1" applyFill="1" applyBorder="1"/>
    <xf numFmtId="3" fontId="10" fillId="10" borderId="24" xfId="1" applyNumberFormat="1" applyFont="1" applyFill="1" applyBorder="1"/>
    <xf numFmtId="3" fontId="10" fillId="10" borderId="21" xfId="1" applyNumberFormat="1" applyFont="1" applyFill="1" applyBorder="1"/>
    <xf numFmtId="0" fontId="10" fillId="10" borderId="0" xfId="0" applyFont="1" applyFill="1" applyBorder="1"/>
    <xf numFmtId="3" fontId="10" fillId="10" borderId="0" xfId="1" applyNumberFormat="1" applyFont="1" applyFill="1" applyBorder="1"/>
    <xf numFmtId="0" fontId="10" fillId="10" borderId="0" xfId="0" applyFont="1" applyFill="1"/>
    <xf numFmtId="4" fontId="0" fillId="2" borderId="15" xfId="1" applyNumberFormat="1" applyFont="1" applyFill="1" applyBorder="1"/>
    <xf numFmtId="4" fontId="0" fillId="2" borderId="0" xfId="1" applyNumberFormat="1" applyFont="1" applyFill="1" applyBorder="1"/>
    <xf numFmtId="4" fontId="3" fillId="12" borderId="20" xfId="1" applyNumberFormat="1" applyFont="1" applyFill="1" applyBorder="1"/>
    <xf numFmtId="4" fontId="3" fillId="12" borderId="19" xfId="1" applyNumberFormat="1" applyFont="1" applyFill="1" applyBorder="1"/>
    <xf numFmtId="4" fontId="3" fillId="12" borderId="15" xfId="1" applyNumberFormat="1" applyFont="1" applyFill="1" applyBorder="1"/>
    <xf numFmtId="0" fontId="3" fillId="12" borderId="26" xfId="0" applyFont="1" applyFill="1" applyBorder="1"/>
    <xf numFmtId="0" fontId="3" fillId="13" borderId="19" xfId="0" applyFont="1" applyFill="1" applyBorder="1"/>
    <xf numFmtId="4" fontId="3" fillId="13" borderId="20" xfId="1" applyNumberFormat="1" applyFont="1" applyFill="1" applyBorder="1"/>
    <xf numFmtId="4" fontId="3" fillId="13" borderId="19" xfId="1" applyNumberFormat="1" applyFont="1" applyFill="1" applyBorder="1"/>
    <xf numFmtId="4" fontId="3" fillId="13" borderId="15" xfId="1" applyNumberFormat="1" applyFont="1" applyFill="1" applyBorder="1"/>
    <xf numFmtId="4" fontId="3" fillId="14" borderId="15" xfId="1" applyNumberFormat="1" applyFont="1" applyFill="1" applyBorder="1"/>
    <xf numFmtId="4" fontId="3" fillId="14" borderId="20" xfId="1" applyNumberFormat="1" applyFont="1" applyFill="1" applyBorder="1"/>
    <xf numFmtId="0" fontId="3" fillId="14" borderId="19" xfId="0" applyFont="1" applyFill="1" applyBorder="1"/>
    <xf numFmtId="4" fontId="3" fillId="14" borderId="19" xfId="1" applyNumberFormat="1" applyFont="1" applyFill="1" applyBorder="1"/>
    <xf numFmtId="0" fontId="3" fillId="15" borderId="19" xfId="0" applyFont="1" applyFill="1" applyBorder="1"/>
    <xf numFmtId="4" fontId="3" fillId="15" borderId="20" xfId="1" applyNumberFormat="1" applyFont="1" applyFill="1" applyBorder="1"/>
    <xf numFmtId="4" fontId="3" fillId="15" borderId="19" xfId="1" applyNumberFormat="1" applyFont="1" applyFill="1" applyBorder="1"/>
    <xf numFmtId="4" fontId="3" fillId="15" borderId="15" xfId="1" applyNumberFormat="1" applyFont="1" applyFill="1" applyBorder="1"/>
    <xf numFmtId="3" fontId="3" fillId="12" borderId="15" xfId="1" applyNumberFormat="1" applyFont="1" applyFill="1" applyBorder="1"/>
    <xf numFmtId="3" fontId="3" fillId="12" borderId="20" xfId="1" applyNumberFormat="1" applyFont="1" applyFill="1" applyBorder="1"/>
    <xf numFmtId="3" fontId="3" fillId="12" borderId="19" xfId="1" applyNumberFormat="1" applyFont="1" applyFill="1" applyBorder="1"/>
    <xf numFmtId="3" fontId="3" fillId="14" borderId="15" xfId="1" applyNumberFormat="1" applyFont="1" applyFill="1" applyBorder="1"/>
    <xf numFmtId="3" fontId="3" fillId="14" borderId="20" xfId="1" applyNumberFormat="1" applyFont="1" applyFill="1" applyBorder="1"/>
    <xf numFmtId="3" fontId="3" fillId="14" borderId="19" xfId="1" applyNumberFormat="1" applyFont="1" applyFill="1" applyBorder="1"/>
    <xf numFmtId="3" fontId="3" fillId="13" borderId="15" xfId="1" applyNumberFormat="1" applyFont="1" applyFill="1" applyBorder="1"/>
    <xf numFmtId="3" fontId="3" fillId="13" borderId="20" xfId="1" applyNumberFormat="1" applyFont="1" applyFill="1" applyBorder="1"/>
    <xf numFmtId="3" fontId="3" fillId="13" borderId="19" xfId="1" applyNumberFormat="1" applyFont="1" applyFill="1" applyBorder="1"/>
    <xf numFmtId="3" fontId="3" fillId="15" borderId="15" xfId="1" applyNumberFormat="1" applyFont="1" applyFill="1" applyBorder="1"/>
    <xf numFmtId="3" fontId="3" fillId="15" borderId="20" xfId="1" applyNumberFormat="1" applyFont="1" applyFill="1" applyBorder="1"/>
    <xf numFmtId="3" fontId="3" fillId="15" borderId="19" xfId="1" applyNumberFormat="1" applyFont="1" applyFill="1" applyBorder="1"/>
    <xf numFmtId="0" fontId="11" fillId="10" borderId="22" xfId="0" applyFont="1" applyFill="1" applyBorder="1"/>
    <xf numFmtId="2" fontId="11" fillId="10" borderId="23" xfId="0" applyNumberFormat="1" applyFont="1" applyFill="1" applyBorder="1" applyAlignment="1">
      <alignment horizontal="right"/>
    </xf>
    <xf numFmtId="2" fontId="11" fillId="10" borderId="22" xfId="0" applyNumberFormat="1" applyFont="1" applyFill="1" applyBorder="1" applyAlignment="1">
      <alignment horizontal="right"/>
    </xf>
    <xf numFmtId="0" fontId="11" fillId="10" borderId="23" xfId="0" applyFont="1" applyFill="1" applyBorder="1"/>
    <xf numFmtId="0" fontId="12" fillId="10" borderId="0" xfId="0" applyFont="1" applyFill="1" applyBorder="1"/>
    <xf numFmtId="3" fontId="12" fillId="10" borderId="21" xfId="1" applyNumberFormat="1" applyFont="1" applyFill="1" applyBorder="1"/>
    <xf numFmtId="3" fontId="12" fillId="10" borderId="0" xfId="1" applyNumberFormat="1" applyFont="1" applyFill="1" applyBorder="1"/>
    <xf numFmtId="0" fontId="12" fillId="10" borderId="0" xfId="0" applyFont="1" applyFill="1"/>
    <xf numFmtId="0" fontId="11" fillId="10" borderId="24" xfId="0" applyFont="1" applyFill="1" applyBorder="1"/>
    <xf numFmtId="3" fontId="11" fillId="10" borderId="25" xfId="1" applyNumberFormat="1" applyFont="1" applyFill="1" applyBorder="1"/>
    <xf numFmtId="3" fontId="11" fillId="10" borderId="24" xfId="1" applyNumberFormat="1" applyFont="1" applyFill="1" applyBorder="1"/>
    <xf numFmtId="3" fontId="11" fillId="10" borderId="21" xfId="1" applyNumberFormat="1" applyFont="1" applyFill="1" applyBorder="1"/>
    <xf numFmtId="0" fontId="0" fillId="16" borderId="27" xfId="0" applyFill="1" applyBorder="1"/>
    <xf numFmtId="0" fontId="0" fillId="16" borderId="28" xfId="1" applyNumberFormat="1" applyFont="1" applyFill="1" applyBorder="1"/>
    <xf numFmtId="0" fontId="0" fillId="16" borderId="27" xfId="1" applyNumberFormat="1" applyFont="1" applyFill="1" applyBorder="1"/>
    <xf numFmtId="2" fontId="2" fillId="3" borderId="18" xfId="0" applyNumberFormat="1" applyFont="1" applyFill="1" applyBorder="1" applyAlignment="1">
      <alignment horizontal="right"/>
    </xf>
    <xf numFmtId="2" fontId="2" fillId="3" borderId="30" xfId="0" applyNumberFormat="1" applyFont="1" applyFill="1" applyBorder="1" applyAlignment="1">
      <alignment horizontal="right"/>
    </xf>
    <xf numFmtId="0" fontId="0" fillId="2" borderId="17" xfId="1" applyNumberFormat="1" applyFont="1" applyFill="1" applyBorder="1"/>
    <xf numFmtId="0" fontId="0" fillId="2" borderId="31" xfId="1" applyNumberFormat="1" applyFont="1" applyFill="1" applyBorder="1"/>
    <xf numFmtId="0" fontId="0" fillId="2" borderId="15" xfId="1" applyNumberFormat="1" applyFont="1" applyFill="1" applyBorder="1"/>
    <xf numFmtId="0" fontId="0" fillId="2" borderId="29" xfId="1" applyNumberFormat="1" applyFont="1" applyFill="1" applyBorder="1"/>
    <xf numFmtId="0" fontId="0" fillId="16" borderId="32" xfId="1" applyNumberFormat="1" applyFont="1" applyFill="1" applyBorder="1"/>
    <xf numFmtId="0" fontId="0" fillId="16" borderId="33" xfId="1" applyNumberFormat="1" applyFont="1" applyFill="1" applyBorder="1"/>
    <xf numFmtId="165" fontId="2" fillId="11" borderId="15" xfId="0" applyNumberFormat="1" applyFont="1" applyFill="1" applyBorder="1" applyAlignment="1">
      <alignment horizontal="right"/>
    </xf>
    <xf numFmtId="165" fontId="2" fillId="11" borderId="29" xfId="0" applyNumberFormat="1" applyFont="1" applyFill="1" applyBorder="1" applyAlignment="1">
      <alignment horizontal="right"/>
    </xf>
    <xf numFmtId="3" fontId="1" fillId="10" borderId="17" xfId="1" applyNumberFormat="1" applyFont="1" applyFill="1" applyBorder="1"/>
    <xf numFmtId="3" fontId="1" fillId="10" borderId="31" xfId="1" applyNumberFormat="1" applyFont="1" applyFill="1" applyBorder="1"/>
    <xf numFmtId="4" fontId="12" fillId="10" borderId="21" xfId="1" applyNumberFormat="1" applyFont="1" applyFill="1" applyBorder="1"/>
    <xf numFmtId="4" fontId="12" fillId="10" borderId="0" xfId="1" applyNumberFormat="1" applyFont="1" applyFill="1" applyBorder="1"/>
    <xf numFmtId="4" fontId="11" fillId="10" borderId="21" xfId="1" applyNumberFormat="1" applyFont="1" applyFill="1" applyBorder="1"/>
    <xf numFmtId="4" fontId="11" fillId="10" borderId="25" xfId="1" applyNumberFormat="1" applyFont="1" applyFill="1" applyBorder="1"/>
    <xf numFmtId="4" fontId="11" fillId="10" borderId="24" xfId="1" applyNumberFormat="1" applyFont="1" applyFill="1" applyBorder="1"/>
    <xf numFmtId="166" fontId="0" fillId="2" borderId="0" xfId="0" applyNumberFormat="1" applyFill="1"/>
    <xf numFmtId="0" fontId="3" fillId="4" borderId="9" xfId="0" applyFont="1" applyFill="1" applyBorder="1" applyAlignment="1">
      <alignment horizontal="center"/>
    </xf>
    <xf numFmtId="0" fontId="3" fillId="4" borderId="0" xfId="0" applyFont="1" applyFill="1" applyAlignment="1">
      <alignment horizontal="center"/>
    </xf>
    <xf numFmtId="0" fontId="3" fillId="4" borderId="10" xfId="0" applyFont="1" applyFill="1" applyBorder="1" applyAlignment="1">
      <alignment horizontal="center"/>
    </xf>
    <xf numFmtId="0" fontId="3" fillId="8" borderId="0" xfId="0" applyFont="1" applyFill="1" applyAlignment="1">
      <alignment horizontal="center"/>
    </xf>
    <xf numFmtId="0" fontId="3" fillId="8" borderId="9" xfId="0" applyFont="1" applyFill="1" applyBorder="1" applyAlignment="1">
      <alignment horizontal="center"/>
    </xf>
    <xf numFmtId="0" fontId="3" fillId="9" borderId="9" xfId="0" applyFont="1" applyFill="1" applyBorder="1" applyAlignment="1">
      <alignment horizontal="center"/>
    </xf>
    <xf numFmtId="0" fontId="3" fillId="9" borderId="0" xfId="0" applyFont="1" applyFill="1" applyAlignment="1">
      <alignment horizontal="center"/>
    </xf>
    <xf numFmtId="0" fontId="2" fillId="3" borderId="0" xfId="0" applyFont="1" applyFill="1" applyAlignment="1">
      <alignment horizontal="center"/>
    </xf>
    <xf numFmtId="0" fontId="2" fillId="3" borderId="9" xfId="0" applyFont="1" applyFill="1" applyBorder="1" applyAlignment="1">
      <alignment horizontal="center"/>
    </xf>
    <xf numFmtId="0" fontId="6" fillId="7" borderId="0" xfId="0" applyFont="1" applyFill="1" applyAlignment="1">
      <alignment horizontal="center"/>
    </xf>
    <xf numFmtId="0" fontId="3" fillId="4" borderId="15" xfId="0" applyFont="1" applyFill="1" applyBorder="1" applyAlignment="1">
      <alignment horizontal="center"/>
    </xf>
    <xf numFmtId="0" fontId="3" fillId="4" borderId="0" xfId="0" applyFont="1" applyFill="1" applyBorder="1" applyAlignment="1">
      <alignment horizontal="center"/>
    </xf>
    <xf numFmtId="0" fontId="6" fillId="7" borderId="15" xfId="0" applyFont="1" applyFill="1" applyBorder="1" applyAlignment="1">
      <alignment horizontal="center"/>
    </xf>
    <xf numFmtId="0" fontId="6" fillId="7" borderId="0" xfId="0" applyFont="1" applyFill="1" applyBorder="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9" fillId="10" borderId="0" xfId="0" applyFont="1" applyFill="1" applyAlignment="1">
      <alignment horizontal="center"/>
    </xf>
    <xf numFmtId="0" fontId="3" fillId="5" borderId="15" xfId="0" applyFont="1" applyFill="1" applyBorder="1" applyAlignment="1">
      <alignment horizontal="center"/>
    </xf>
    <xf numFmtId="0" fontId="3" fillId="5" borderId="0" xfId="0" applyFont="1" applyFill="1" applyBorder="1" applyAlignment="1">
      <alignment horizontal="center"/>
    </xf>
    <xf numFmtId="0" fontId="3" fillId="6" borderId="15" xfId="0" applyFont="1" applyFill="1" applyBorder="1" applyAlignment="1">
      <alignment horizontal="center"/>
    </xf>
    <xf numFmtId="0" fontId="3" fillId="6" borderId="0" xfId="0" applyFont="1" applyFill="1" applyBorder="1" applyAlignment="1">
      <alignment horizontal="center"/>
    </xf>
    <xf numFmtId="0" fontId="9" fillId="10" borderId="21" xfId="0" applyFont="1" applyFill="1" applyBorder="1" applyAlignment="1">
      <alignment horizontal="center"/>
    </xf>
    <xf numFmtId="0" fontId="9" fillId="10" borderId="0" xfId="0" applyFont="1" applyFill="1" applyBorder="1" applyAlignment="1">
      <alignment horizontal="center"/>
    </xf>
    <xf numFmtId="0" fontId="2" fillId="3" borderId="15" xfId="0" applyFont="1" applyFill="1" applyBorder="1" applyAlignment="1">
      <alignment horizontal="center"/>
    </xf>
    <xf numFmtId="0" fontId="2" fillId="3" borderId="0" xfId="0" applyFont="1" applyFill="1" applyBorder="1" applyAlignment="1">
      <alignment horizontal="center"/>
    </xf>
    <xf numFmtId="0" fontId="2" fillId="3" borderId="29" xfId="0" applyFont="1" applyFill="1" applyBorder="1" applyAlignment="1">
      <alignment horizontal="center"/>
    </xf>
    <xf numFmtId="0" fontId="11" fillId="10" borderId="0" xfId="0" applyFont="1" applyFill="1" applyAlignment="1">
      <alignment horizontal="center"/>
    </xf>
    <xf numFmtId="0" fontId="11" fillId="10" borderId="21" xfId="0" applyFont="1" applyFill="1" applyBorder="1" applyAlignment="1">
      <alignment horizontal="center"/>
    </xf>
    <xf numFmtId="0" fontId="11" fillId="10" borderId="0" xfId="0" applyFont="1" applyFill="1" applyBorder="1" applyAlignment="1">
      <alignment horizontal="center"/>
    </xf>
  </cellXfs>
  <cellStyles count="2">
    <cellStyle name="Normal" xfId="0" builtinId="0"/>
    <cellStyle name="Per cent" xfId="1" builtinId="5"/>
  </cellStyles>
  <dxfs count="10">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s>
  <tableStyles count="0" defaultTableStyle="TableStyleMedium2" defaultPivotStyle="PivotStyleLight16"/>
  <colors>
    <mruColors>
      <color rgb="FF293894"/>
      <color rgb="FFFF9999"/>
      <color rgb="FFFF7171"/>
      <color rgb="FFFFE799"/>
      <color rgb="FFFFDD71"/>
      <color rgb="FFFFD449"/>
      <color rgb="FFCEE1F4"/>
      <color rgb="FFBAE2BB"/>
      <color rgb="FF00ABBD"/>
      <color rgb="FF00B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0E4D-6EA2-439F-9CD8-5EB163A8819D}">
  <sheetPr>
    <tabColor rgb="FF00BED2"/>
  </sheetPr>
  <dimension ref="B2:E117"/>
  <sheetViews>
    <sheetView topLeftCell="A2" workbookViewId="0">
      <selection activeCell="D2" sqref="D2"/>
    </sheetView>
  </sheetViews>
  <sheetFormatPr defaultRowHeight="15" x14ac:dyDescent="0.25"/>
  <cols>
    <col min="1" max="1" width="2.7109375" style="2" customWidth="1"/>
    <col min="2" max="2" width="21.28515625" style="2" customWidth="1"/>
    <col min="3" max="3" width="60.85546875" style="2" bestFit="1" customWidth="1"/>
    <col min="4" max="4" width="17.85546875" style="36" customWidth="1"/>
    <col min="5" max="5" width="17.85546875" style="2" customWidth="1"/>
    <col min="6" max="16384" width="9.140625" style="2"/>
  </cols>
  <sheetData>
    <row r="2" spans="2:5" ht="15.75" thickBot="1" x14ac:dyDescent="0.3">
      <c r="B2" s="4" t="s">
        <v>27</v>
      </c>
      <c r="C2" s="4" t="s">
        <v>2</v>
      </c>
      <c r="D2" s="6" t="s">
        <v>26</v>
      </c>
      <c r="E2" s="8" t="s">
        <v>1</v>
      </c>
    </row>
    <row r="3" spans="2:5" ht="15.75" thickTop="1" x14ac:dyDescent="0.25">
      <c r="B3" s="2" t="s">
        <v>136</v>
      </c>
      <c r="C3" s="2" t="s">
        <v>58</v>
      </c>
      <c r="D3" s="35" t="s">
        <v>135</v>
      </c>
      <c r="E3" s="202">
        <v>11</v>
      </c>
    </row>
    <row r="4" spans="2:5" x14ac:dyDescent="0.25">
      <c r="B4" s="2" t="s">
        <v>136</v>
      </c>
      <c r="C4" s="2" t="s">
        <v>59</v>
      </c>
      <c r="D4" s="35" t="s">
        <v>135</v>
      </c>
      <c r="E4" s="202">
        <v>112</v>
      </c>
    </row>
    <row r="5" spans="2:5" x14ac:dyDescent="0.25">
      <c r="B5" s="2" t="s">
        <v>136</v>
      </c>
      <c r="C5" s="2" t="s">
        <v>60</v>
      </c>
      <c r="D5" s="35" t="s">
        <v>135</v>
      </c>
      <c r="E5" s="202">
        <v>20.399999999999999</v>
      </c>
    </row>
    <row r="6" spans="2:5" x14ac:dyDescent="0.25">
      <c r="B6" s="2" t="s">
        <v>136</v>
      </c>
      <c r="C6" s="2" t="s">
        <v>58</v>
      </c>
      <c r="D6" s="35" t="s">
        <v>135</v>
      </c>
      <c r="E6" s="202">
        <v>0</v>
      </c>
    </row>
    <row r="7" spans="2:5" x14ac:dyDescent="0.25">
      <c r="B7" s="2" t="s">
        <v>136</v>
      </c>
      <c r="C7" s="2" t="s">
        <v>61</v>
      </c>
      <c r="D7" s="35" t="s">
        <v>135</v>
      </c>
      <c r="E7" s="202">
        <v>5.0999999999999996</v>
      </c>
    </row>
    <row r="8" spans="2:5" x14ac:dyDescent="0.25">
      <c r="B8" s="2" t="s">
        <v>136</v>
      </c>
      <c r="C8" s="2" t="s">
        <v>62</v>
      </c>
      <c r="D8" s="35" t="s">
        <v>135</v>
      </c>
      <c r="E8" s="202">
        <v>4</v>
      </c>
    </row>
    <row r="9" spans="2:5" x14ac:dyDescent="0.25">
      <c r="B9" s="2" t="s">
        <v>136</v>
      </c>
      <c r="C9" s="2" t="s">
        <v>63</v>
      </c>
      <c r="D9" s="35" t="s">
        <v>135</v>
      </c>
      <c r="E9" s="202">
        <v>75.7</v>
      </c>
    </row>
    <row r="10" spans="2:5" x14ac:dyDescent="0.25">
      <c r="B10" s="2" t="s">
        <v>136</v>
      </c>
      <c r="C10" s="2" t="s">
        <v>64</v>
      </c>
      <c r="D10" s="35" t="s">
        <v>135</v>
      </c>
      <c r="E10" s="202">
        <v>293.10000000000002</v>
      </c>
    </row>
    <row r="11" spans="2:5" x14ac:dyDescent="0.25">
      <c r="B11" s="2" t="s">
        <v>136</v>
      </c>
      <c r="C11" s="2" t="s">
        <v>65</v>
      </c>
      <c r="D11" s="35" t="s">
        <v>135</v>
      </c>
      <c r="E11" s="202">
        <v>2.4</v>
      </c>
    </row>
    <row r="12" spans="2:5" x14ac:dyDescent="0.25">
      <c r="B12" s="2" t="s">
        <v>136</v>
      </c>
      <c r="C12" s="2" t="s">
        <v>66</v>
      </c>
      <c r="D12" s="35" t="s">
        <v>135</v>
      </c>
      <c r="E12" s="202">
        <v>447.5</v>
      </c>
    </row>
    <row r="13" spans="2:5" x14ac:dyDescent="0.25">
      <c r="B13" s="2" t="s">
        <v>136</v>
      </c>
      <c r="C13" s="2" t="s">
        <v>67</v>
      </c>
      <c r="D13" s="35" t="s">
        <v>135</v>
      </c>
      <c r="E13" s="202">
        <v>0</v>
      </c>
    </row>
    <row r="14" spans="2:5" x14ac:dyDescent="0.25">
      <c r="B14" s="2" t="s">
        <v>136</v>
      </c>
      <c r="C14" s="2" t="s">
        <v>68</v>
      </c>
      <c r="D14" s="35" t="s">
        <v>25</v>
      </c>
      <c r="E14" s="202">
        <v>175</v>
      </c>
    </row>
    <row r="15" spans="2:5" x14ac:dyDescent="0.25">
      <c r="B15" s="2" t="s">
        <v>136</v>
      </c>
      <c r="C15" s="2" t="s">
        <v>69</v>
      </c>
      <c r="D15" s="35" t="s">
        <v>25</v>
      </c>
      <c r="E15" s="202">
        <v>2</v>
      </c>
    </row>
    <row r="16" spans="2:5" x14ac:dyDescent="0.25">
      <c r="B16" s="2" t="s">
        <v>136</v>
      </c>
      <c r="C16" s="2" t="s">
        <v>70</v>
      </c>
      <c r="D16" s="35" t="s">
        <v>25</v>
      </c>
      <c r="E16" s="202">
        <v>3</v>
      </c>
    </row>
    <row r="17" spans="2:5" x14ac:dyDescent="0.25">
      <c r="B17" s="2" t="s">
        <v>136</v>
      </c>
      <c r="C17" s="2" t="s">
        <v>71</v>
      </c>
      <c r="D17" s="35" t="s">
        <v>25</v>
      </c>
      <c r="E17" s="202">
        <v>138</v>
      </c>
    </row>
    <row r="18" spans="2:5" x14ac:dyDescent="0.25">
      <c r="B18" s="2" t="s">
        <v>136</v>
      </c>
      <c r="C18" s="2" t="s">
        <v>72</v>
      </c>
      <c r="D18" s="35" t="s">
        <v>25</v>
      </c>
      <c r="E18" s="202">
        <v>4.5</v>
      </c>
    </row>
    <row r="19" spans="2:5" x14ac:dyDescent="0.25">
      <c r="B19" s="2" t="s">
        <v>136</v>
      </c>
      <c r="C19" s="2" t="s">
        <v>73</v>
      </c>
      <c r="D19" s="35" t="s">
        <v>25</v>
      </c>
      <c r="E19" s="202">
        <v>8</v>
      </c>
    </row>
    <row r="20" spans="2:5" x14ac:dyDescent="0.25">
      <c r="B20" s="2" t="s">
        <v>136</v>
      </c>
      <c r="C20" s="2" t="s">
        <v>74</v>
      </c>
      <c r="D20" s="35" t="s">
        <v>24</v>
      </c>
      <c r="E20" s="202">
        <v>94</v>
      </c>
    </row>
    <row r="21" spans="2:5" x14ac:dyDescent="0.25">
      <c r="B21" s="2" t="s">
        <v>136</v>
      </c>
      <c r="C21" s="2" t="s">
        <v>75</v>
      </c>
      <c r="D21" s="35" t="s">
        <v>24</v>
      </c>
      <c r="E21" s="202">
        <v>68</v>
      </c>
    </row>
    <row r="22" spans="2:5" x14ac:dyDescent="0.25">
      <c r="B22" s="2" t="s">
        <v>136</v>
      </c>
      <c r="C22" s="2" t="s">
        <v>76</v>
      </c>
      <c r="D22" s="35" t="s">
        <v>24</v>
      </c>
      <c r="E22" s="202">
        <v>0.5</v>
      </c>
    </row>
    <row r="23" spans="2:5" x14ac:dyDescent="0.25">
      <c r="B23" s="2" t="s">
        <v>136</v>
      </c>
      <c r="C23" s="2" t="s">
        <v>77</v>
      </c>
      <c r="D23" s="35" t="s">
        <v>24</v>
      </c>
      <c r="E23" s="202">
        <v>0</v>
      </c>
    </row>
    <row r="24" spans="2:5" x14ac:dyDescent="0.25">
      <c r="B24" s="2" t="s">
        <v>136</v>
      </c>
      <c r="C24" s="2" t="s">
        <v>75</v>
      </c>
      <c r="D24" s="35" t="s">
        <v>24</v>
      </c>
      <c r="E24" s="202">
        <v>1.8</v>
      </c>
    </row>
    <row r="25" spans="2:5" x14ac:dyDescent="0.25">
      <c r="B25" s="2" t="s">
        <v>136</v>
      </c>
      <c r="C25" s="2" t="s">
        <v>78</v>
      </c>
      <c r="D25" s="35" t="s">
        <v>24</v>
      </c>
      <c r="E25" s="202">
        <v>0</v>
      </c>
    </row>
    <row r="26" spans="2:5" x14ac:dyDescent="0.25">
      <c r="B26" s="2" t="s">
        <v>136</v>
      </c>
      <c r="C26" s="2" t="s">
        <v>79</v>
      </c>
      <c r="D26" s="35" t="s">
        <v>24</v>
      </c>
      <c r="E26" s="202">
        <v>0</v>
      </c>
    </row>
    <row r="27" spans="2:5" x14ac:dyDescent="0.25">
      <c r="B27" s="2" t="s">
        <v>136</v>
      </c>
      <c r="C27" s="2" t="s">
        <v>80</v>
      </c>
      <c r="D27" s="35" t="s">
        <v>24</v>
      </c>
      <c r="E27" s="202">
        <v>2.85</v>
      </c>
    </row>
    <row r="28" spans="2:5" x14ac:dyDescent="0.25">
      <c r="B28" s="2" t="s">
        <v>136</v>
      </c>
      <c r="C28" s="2" t="s">
        <v>81</v>
      </c>
      <c r="D28" s="35" t="s">
        <v>24</v>
      </c>
      <c r="E28" s="202">
        <v>0</v>
      </c>
    </row>
    <row r="29" spans="2:5" x14ac:dyDescent="0.25">
      <c r="B29" s="2" t="s">
        <v>136</v>
      </c>
      <c r="C29" s="2" t="s">
        <v>82</v>
      </c>
      <c r="D29" s="35" t="s">
        <v>24</v>
      </c>
      <c r="E29" s="202">
        <v>0</v>
      </c>
    </row>
    <row r="30" spans="2:5" x14ac:dyDescent="0.25">
      <c r="B30" s="2" t="s">
        <v>136</v>
      </c>
      <c r="C30" s="2" t="s">
        <v>77</v>
      </c>
      <c r="D30" s="35" t="s">
        <v>24</v>
      </c>
      <c r="E30" s="202">
        <v>0</v>
      </c>
    </row>
    <row r="31" spans="2:5" x14ac:dyDescent="0.25">
      <c r="B31" s="2" t="s">
        <v>136</v>
      </c>
      <c r="C31" s="2" t="s">
        <v>78</v>
      </c>
      <c r="D31" s="35" t="s">
        <v>24</v>
      </c>
      <c r="E31" s="202">
        <v>0</v>
      </c>
    </row>
    <row r="32" spans="2:5" x14ac:dyDescent="0.25">
      <c r="B32" s="2" t="s">
        <v>136</v>
      </c>
      <c r="C32" s="2" t="s">
        <v>79</v>
      </c>
      <c r="D32" s="35" t="s">
        <v>24</v>
      </c>
      <c r="E32" s="202">
        <v>7.6</v>
      </c>
    </row>
    <row r="33" spans="2:5" x14ac:dyDescent="0.25">
      <c r="B33" s="2" t="s">
        <v>136</v>
      </c>
      <c r="C33" s="2" t="s">
        <v>80</v>
      </c>
      <c r="D33" s="35" t="s">
        <v>24</v>
      </c>
      <c r="E33" s="202">
        <v>2.2999999999999998</v>
      </c>
    </row>
    <row r="34" spans="2:5" x14ac:dyDescent="0.25">
      <c r="B34" s="2" t="s">
        <v>136</v>
      </c>
      <c r="C34" s="2" t="s">
        <v>81</v>
      </c>
      <c r="D34" s="35" t="s">
        <v>24</v>
      </c>
      <c r="E34" s="202">
        <v>0</v>
      </c>
    </row>
    <row r="35" spans="2:5" x14ac:dyDescent="0.25">
      <c r="B35" s="2" t="s">
        <v>136</v>
      </c>
      <c r="C35" s="2" t="s">
        <v>82</v>
      </c>
      <c r="D35" s="35" t="s">
        <v>24</v>
      </c>
      <c r="E35" s="202">
        <v>0</v>
      </c>
    </row>
    <row r="36" spans="2:5" x14ac:dyDescent="0.25">
      <c r="B36" s="2" t="s">
        <v>136</v>
      </c>
      <c r="C36" s="2" t="s">
        <v>83</v>
      </c>
      <c r="D36" s="35" t="s">
        <v>24</v>
      </c>
      <c r="E36" s="202">
        <v>0.2</v>
      </c>
    </row>
    <row r="37" spans="2:5" x14ac:dyDescent="0.25">
      <c r="B37" s="2" t="s">
        <v>136</v>
      </c>
      <c r="C37" s="2" t="s">
        <v>84</v>
      </c>
      <c r="D37" s="35" t="s">
        <v>23</v>
      </c>
      <c r="E37" s="202">
        <v>4.4000000000000004</v>
      </c>
    </row>
    <row r="38" spans="2:5" x14ac:dyDescent="0.25">
      <c r="B38" s="2" t="s">
        <v>136</v>
      </c>
      <c r="C38" s="2" t="s">
        <v>85</v>
      </c>
      <c r="D38" s="35" t="s">
        <v>23</v>
      </c>
      <c r="E38" s="202">
        <v>1.5</v>
      </c>
    </row>
    <row r="39" spans="2:5" x14ac:dyDescent="0.25">
      <c r="B39" s="2" t="s">
        <v>136</v>
      </c>
      <c r="C39" s="2" t="s">
        <v>86</v>
      </c>
      <c r="D39" s="35" t="s">
        <v>23</v>
      </c>
      <c r="E39" s="202">
        <v>12.5</v>
      </c>
    </row>
    <row r="40" spans="2:5" x14ac:dyDescent="0.25">
      <c r="B40" s="2" t="s">
        <v>136</v>
      </c>
      <c r="C40" s="2" t="s">
        <v>87</v>
      </c>
      <c r="D40" s="35" t="s">
        <v>23</v>
      </c>
      <c r="E40" s="202">
        <v>0.75</v>
      </c>
    </row>
    <row r="41" spans="2:5" x14ac:dyDescent="0.25">
      <c r="B41" s="2" t="s">
        <v>136</v>
      </c>
      <c r="C41" s="2" t="s">
        <v>88</v>
      </c>
      <c r="D41" s="35" t="s">
        <v>23</v>
      </c>
      <c r="E41" s="202">
        <v>4</v>
      </c>
    </row>
    <row r="42" spans="2:5" x14ac:dyDescent="0.25">
      <c r="B42" s="2" t="s">
        <v>136</v>
      </c>
      <c r="C42" s="2" t="s">
        <v>89</v>
      </c>
      <c r="D42" s="35" t="s">
        <v>23</v>
      </c>
      <c r="E42" s="202">
        <v>0</v>
      </c>
    </row>
    <row r="43" spans="2:5" x14ac:dyDescent="0.25">
      <c r="B43" s="2" t="s">
        <v>136</v>
      </c>
      <c r="C43" s="2" t="s">
        <v>90</v>
      </c>
      <c r="D43" s="35" t="s">
        <v>23</v>
      </c>
      <c r="E43" s="202">
        <v>36</v>
      </c>
    </row>
    <row r="44" spans="2:5" x14ac:dyDescent="0.25">
      <c r="B44" s="2" t="s">
        <v>136</v>
      </c>
      <c r="C44" s="2" t="s">
        <v>91</v>
      </c>
      <c r="D44" s="35" t="s">
        <v>23</v>
      </c>
      <c r="E44" s="202">
        <v>1</v>
      </c>
    </row>
    <row r="45" spans="2:5" x14ac:dyDescent="0.25">
      <c r="B45" s="2" t="s">
        <v>136</v>
      </c>
      <c r="C45" s="2" t="s">
        <v>90</v>
      </c>
      <c r="D45" s="35" t="s">
        <v>23</v>
      </c>
      <c r="E45" s="202">
        <v>12.3</v>
      </c>
    </row>
    <row r="46" spans="2:5" x14ac:dyDescent="0.25">
      <c r="B46" s="2" t="s">
        <v>136</v>
      </c>
      <c r="C46" s="2" t="s">
        <v>91</v>
      </c>
      <c r="D46" s="35" t="s">
        <v>23</v>
      </c>
      <c r="E46" s="202">
        <v>0.4</v>
      </c>
    </row>
    <row r="47" spans="2:5" x14ac:dyDescent="0.25">
      <c r="B47" s="2" t="s">
        <v>136</v>
      </c>
      <c r="C47" s="2" t="s">
        <v>92</v>
      </c>
      <c r="D47" s="35" t="s">
        <v>22</v>
      </c>
      <c r="E47" s="202">
        <v>162</v>
      </c>
    </row>
    <row r="48" spans="2:5" x14ac:dyDescent="0.25">
      <c r="B48" s="2" t="s">
        <v>136</v>
      </c>
      <c r="C48" s="2" t="s">
        <v>93</v>
      </c>
      <c r="D48" s="35" t="s">
        <v>22</v>
      </c>
      <c r="E48" s="202">
        <v>5.6</v>
      </c>
    </row>
    <row r="49" spans="2:5" x14ac:dyDescent="0.25">
      <c r="B49" s="2" t="s">
        <v>136</v>
      </c>
      <c r="C49" s="2" t="s">
        <v>94</v>
      </c>
      <c r="D49" s="35" t="s">
        <v>22</v>
      </c>
      <c r="E49" s="202">
        <v>2</v>
      </c>
    </row>
    <row r="50" spans="2:5" x14ac:dyDescent="0.25">
      <c r="B50" s="2" t="s">
        <v>136</v>
      </c>
      <c r="C50" s="2" t="s">
        <v>95</v>
      </c>
      <c r="D50" s="35" t="s">
        <v>22</v>
      </c>
      <c r="E50" s="202">
        <v>0</v>
      </c>
    </row>
    <row r="51" spans="2:5" x14ac:dyDescent="0.25">
      <c r="B51" s="2" t="s">
        <v>136</v>
      </c>
      <c r="C51" s="2" t="s">
        <v>96</v>
      </c>
      <c r="D51" s="35" t="s">
        <v>22</v>
      </c>
      <c r="E51" s="202">
        <v>0</v>
      </c>
    </row>
    <row r="52" spans="2:5" x14ac:dyDescent="0.25">
      <c r="B52" s="2" t="s">
        <v>136</v>
      </c>
      <c r="C52" s="2" t="s">
        <v>97</v>
      </c>
      <c r="D52" s="35" t="s">
        <v>22</v>
      </c>
      <c r="E52" s="202">
        <v>9</v>
      </c>
    </row>
    <row r="53" spans="2:5" x14ac:dyDescent="0.25">
      <c r="B53" s="2" t="s">
        <v>136</v>
      </c>
      <c r="C53" s="2" t="s">
        <v>98</v>
      </c>
      <c r="D53" s="35" t="s">
        <v>22</v>
      </c>
      <c r="E53" s="202">
        <v>17</v>
      </c>
    </row>
    <row r="54" spans="2:5" x14ac:dyDescent="0.25">
      <c r="B54" s="2" t="s">
        <v>136</v>
      </c>
      <c r="C54" s="2" t="s">
        <v>99</v>
      </c>
      <c r="D54" s="35" t="s">
        <v>22</v>
      </c>
      <c r="E54" s="202">
        <v>21</v>
      </c>
    </row>
    <row r="55" spans="2:5" x14ac:dyDescent="0.25">
      <c r="B55" s="2" t="s">
        <v>136</v>
      </c>
      <c r="C55" s="2" t="s">
        <v>100</v>
      </c>
      <c r="D55" s="35" t="s">
        <v>22</v>
      </c>
      <c r="E55" s="202">
        <v>0</v>
      </c>
    </row>
    <row r="56" spans="2:5" x14ac:dyDescent="0.25">
      <c r="B56" s="2" t="s">
        <v>136</v>
      </c>
      <c r="C56" s="2" t="s">
        <v>93</v>
      </c>
      <c r="D56" s="35" t="s">
        <v>22</v>
      </c>
      <c r="E56" s="202">
        <v>0.5</v>
      </c>
    </row>
    <row r="57" spans="2:5" x14ac:dyDescent="0.25">
      <c r="B57" s="2" t="s">
        <v>136</v>
      </c>
      <c r="C57" s="2" t="s">
        <v>89</v>
      </c>
      <c r="D57" s="35" t="s">
        <v>22</v>
      </c>
      <c r="E57" s="202">
        <v>0</v>
      </c>
    </row>
    <row r="58" spans="2:5" x14ac:dyDescent="0.25">
      <c r="B58" s="2" t="s">
        <v>136</v>
      </c>
      <c r="C58" s="2" t="s">
        <v>94</v>
      </c>
      <c r="D58" s="35" t="s">
        <v>22</v>
      </c>
      <c r="E58" s="202">
        <v>0</v>
      </c>
    </row>
    <row r="59" spans="2:5" x14ac:dyDescent="0.25">
      <c r="B59" s="2" t="s">
        <v>136</v>
      </c>
      <c r="C59" s="2" t="s">
        <v>95</v>
      </c>
      <c r="D59" s="35" t="s">
        <v>22</v>
      </c>
      <c r="E59" s="202">
        <v>0</v>
      </c>
    </row>
    <row r="60" spans="2:5" x14ac:dyDescent="0.25">
      <c r="B60" s="2" t="s">
        <v>136</v>
      </c>
      <c r="C60" s="2" t="s">
        <v>101</v>
      </c>
      <c r="D60" s="35" t="s">
        <v>22</v>
      </c>
      <c r="E60" s="202">
        <v>0</v>
      </c>
    </row>
    <row r="61" spans="2:5" x14ac:dyDescent="0.25">
      <c r="B61" s="2" t="s">
        <v>136</v>
      </c>
      <c r="C61" s="2" t="s">
        <v>96</v>
      </c>
      <c r="D61" s="35" t="s">
        <v>22</v>
      </c>
      <c r="E61" s="202">
        <v>7.2</v>
      </c>
    </row>
    <row r="62" spans="2:5" x14ac:dyDescent="0.25">
      <c r="B62" s="2" t="s">
        <v>136</v>
      </c>
      <c r="C62" s="2" t="s">
        <v>97</v>
      </c>
      <c r="D62" s="35" t="s">
        <v>22</v>
      </c>
      <c r="E62" s="202">
        <v>0</v>
      </c>
    </row>
    <row r="63" spans="2:5" x14ac:dyDescent="0.25">
      <c r="B63" s="2" t="s">
        <v>136</v>
      </c>
      <c r="C63" s="2" t="s">
        <v>98</v>
      </c>
      <c r="D63" s="35" t="s">
        <v>22</v>
      </c>
      <c r="E63" s="202">
        <v>24</v>
      </c>
    </row>
    <row r="64" spans="2:5" x14ac:dyDescent="0.25">
      <c r="B64" s="2" t="s">
        <v>136</v>
      </c>
      <c r="C64" s="2" t="s">
        <v>99</v>
      </c>
      <c r="D64" s="35" t="s">
        <v>22</v>
      </c>
      <c r="E64" s="202">
        <v>0.9</v>
      </c>
    </row>
    <row r="65" spans="2:5" x14ac:dyDescent="0.25">
      <c r="B65" s="2" t="s">
        <v>136</v>
      </c>
      <c r="C65" s="2" t="s">
        <v>100</v>
      </c>
      <c r="D65" s="35" t="s">
        <v>22</v>
      </c>
      <c r="E65" s="202">
        <v>0</v>
      </c>
    </row>
    <row r="66" spans="2:5" x14ac:dyDescent="0.25">
      <c r="B66" s="2" t="s">
        <v>136</v>
      </c>
      <c r="C66" s="2" t="s">
        <v>102</v>
      </c>
      <c r="D66" s="35" t="s">
        <v>22</v>
      </c>
      <c r="E66" s="202">
        <v>0</v>
      </c>
    </row>
    <row r="67" spans="2:5" x14ac:dyDescent="0.25">
      <c r="B67" s="2" t="s">
        <v>136</v>
      </c>
      <c r="C67" s="2" t="s">
        <v>103</v>
      </c>
      <c r="D67" s="35" t="s">
        <v>21</v>
      </c>
      <c r="E67" s="202">
        <v>0</v>
      </c>
    </row>
    <row r="68" spans="2:5" x14ac:dyDescent="0.25">
      <c r="B68" s="2" t="s">
        <v>136</v>
      </c>
      <c r="C68" s="2" t="s">
        <v>104</v>
      </c>
      <c r="D68" s="35" t="s">
        <v>21</v>
      </c>
      <c r="E68" s="202">
        <v>58.35</v>
      </c>
    </row>
    <row r="69" spans="2:5" x14ac:dyDescent="0.25">
      <c r="B69" s="2" t="s">
        <v>136</v>
      </c>
      <c r="C69" s="2" t="s">
        <v>105</v>
      </c>
      <c r="D69" s="35" t="s">
        <v>21</v>
      </c>
      <c r="E69" s="202">
        <v>51</v>
      </c>
    </row>
    <row r="70" spans="2:5" x14ac:dyDescent="0.25">
      <c r="B70" s="2" t="s">
        <v>136</v>
      </c>
      <c r="C70" s="2" t="s">
        <v>106</v>
      </c>
      <c r="D70" s="35" t="s">
        <v>21</v>
      </c>
      <c r="E70" s="202">
        <v>74.5</v>
      </c>
    </row>
    <row r="71" spans="2:5" x14ac:dyDescent="0.25">
      <c r="B71" s="2" t="s">
        <v>136</v>
      </c>
      <c r="C71" s="2" t="s">
        <v>107</v>
      </c>
      <c r="D71" s="35" t="s">
        <v>21</v>
      </c>
      <c r="E71" s="202">
        <v>30</v>
      </c>
    </row>
    <row r="72" spans="2:5" x14ac:dyDescent="0.25">
      <c r="B72" s="2" t="s">
        <v>136</v>
      </c>
      <c r="C72" s="2" t="s">
        <v>108</v>
      </c>
      <c r="D72" s="35" t="s">
        <v>21</v>
      </c>
      <c r="E72" s="202">
        <v>3.5</v>
      </c>
    </row>
    <row r="73" spans="2:5" x14ac:dyDescent="0.25">
      <c r="B73" s="2" t="s">
        <v>136</v>
      </c>
      <c r="C73" s="2" t="s">
        <v>109</v>
      </c>
      <c r="D73" s="35" t="s">
        <v>21</v>
      </c>
      <c r="E73" s="202">
        <v>8.25</v>
      </c>
    </row>
    <row r="74" spans="2:5" x14ac:dyDescent="0.25">
      <c r="B74" s="2" t="s">
        <v>136</v>
      </c>
      <c r="C74" s="2" t="s">
        <v>110</v>
      </c>
      <c r="D74" s="35" t="s">
        <v>21</v>
      </c>
      <c r="E74" s="202">
        <v>0</v>
      </c>
    </row>
    <row r="75" spans="2:5" x14ac:dyDescent="0.25">
      <c r="B75" s="2" t="s">
        <v>136</v>
      </c>
      <c r="C75" s="2" t="s">
        <v>111</v>
      </c>
      <c r="D75" s="35" t="s">
        <v>21</v>
      </c>
      <c r="E75" s="202">
        <v>4.4000000000000004</v>
      </c>
    </row>
    <row r="76" spans="2:5" x14ac:dyDescent="0.25">
      <c r="B76" s="2" t="s">
        <v>136</v>
      </c>
      <c r="C76" s="2" t="s">
        <v>104</v>
      </c>
      <c r="D76" s="35" t="s">
        <v>21</v>
      </c>
      <c r="E76" s="202">
        <v>0</v>
      </c>
    </row>
    <row r="77" spans="2:5" x14ac:dyDescent="0.25">
      <c r="B77" s="2" t="s">
        <v>136</v>
      </c>
      <c r="C77" s="2" t="s">
        <v>112</v>
      </c>
      <c r="D77" s="35" t="s">
        <v>21</v>
      </c>
      <c r="E77" s="202">
        <v>35.1</v>
      </c>
    </row>
    <row r="78" spans="2:5" x14ac:dyDescent="0.25">
      <c r="B78" s="2" t="s">
        <v>136</v>
      </c>
      <c r="C78" s="2" t="s">
        <v>105</v>
      </c>
      <c r="D78" s="35" t="s">
        <v>21</v>
      </c>
      <c r="E78" s="202">
        <v>11.5</v>
      </c>
    </row>
    <row r="79" spans="2:5" x14ac:dyDescent="0.25">
      <c r="B79" s="2" t="s">
        <v>136</v>
      </c>
      <c r="C79" s="2" t="s">
        <v>106</v>
      </c>
      <c r="D79" s="35" t="s">
        <v>21</v>
      </c>
      <c r="E79" s="202">
        <v>0</v>
      </c>
    </row>
    <row r="80" spans="2:5" x14ac:dyDescent="0.25">
      <c r="B80" s="2" t="s">
        <v>136</v>
      </c>
      <c r="C80" s="2" t="s">
        <v>113</v>
      </c>
      <c r="D80" s="35" t="s">
        <v>21</v>
      </c>
      <c r="E80" s="202">
        <v>9.1</v>
      </c>
    </row>
    <row r="81" spans="2:5" x14ac:dyDescent="0.25">
      <c r="B81" s="2" t="s">
        <v>136</v>
      </c>
      <c r="C81" s="2" t="s">
        <v>114</v>
      </c>
      <c r="D81" s="35" t="s">
        <v>21</v>
      </c>
      <c r="E81" s="202">
        <v>97.5</v>
      </c>
    </row>
    <row r="82" spans="2:5" x14ac:dyDescent="0.25">
      <c r="B82" s="2" t="s">
        <v>136</v>
      </c>
      <c r="C82" s="2" t="s">
        <v>107</v>
      </c>
      <c r="D82" s="35" t="s">
        <v>21</v>
      </c>
      <c r="E82" s="202">
        <v>7</v>
      </c>
    </row>
    <row r="83" spans="2:5" x14ac:dyDescent="0.25">
      <c r="B83" s="2" t="s">
        <v>136</v>
      </c>
      <c r="C83" s="2" t="s">
        <v>115</v>
      </c>
      <c r="D83" s="35" t="s">
        <v>21</v>
      </c>
      <c r="E83" s="202">
        <v>7.2</v>
      </c>
    </row>
    <row r="84" spans="2:5" x14ac:dyDescent="0.25">
      <c r="B84" s="2" t="s">
        <v>136</v>
      </c>
      <c r="C84" s="2" t="s">
        <v>108</v>
      </c>
      <c r="D84" s="35" t="s">
        <v>21</v>
      </c>
      <c r="E84" s="202">
        <v>8.4</v>
      </c>
    </row>
    <row r="85" spans="2:5" x14ac:dyDescent="0.25">
      <c r="B85" s="2" t="s">
        <v>136</v>
      </c>
      <c r="C85" s="2" t="s">
        <v>109</v>
      </c>
      <c r="D85" s="35" t="s">
        <v>21</v>
      </c>
      <c r="E85" s="202">
        <v>5.8</v>
      </c>
    </row>
    <row r="86" spans="2:5" x14ac:dyDescent="0.25">
      <c r="B86" s="2" t="s">
        <v>136</v>
      </c>
      <c r="C86" s="2" t="s">
        <v>116</v>
      </c>
      <c r="D86" s="35" t="s">
        <v>21</v>
      </c>
      <c r="E86" s="202">
        <v>10.5</v>
      </c>
    </row>
    <row r="87" spans="2:5" x14ac:dyDescent="0.25">
      <c r="B87" s="2" t="s">
        <v>137</v>
      </c>
      <c r="C87" s="2" t="s">
        <v>117</v>
      </c>
      <c r="D87" s="35" t="s">
        <v>25</v>
      </c>
      <c r="E87" s="202">
        <v>456.09606813383351</v>
      </c>
    </row>
    <row r="88" spans="2:5" x14ac:dyDescent="0.25">
      <c r="B88" s="2" t="s">
        <v>137</v>
      </c>
      <c r="C88" s="2" t="s">
        <v>118</v>
      </c>
      <c r="D88" s="35" t="s">
        <v>25</v>
      </c>
      <c r="E88" s="202">
        <v>253.44264807404019</v>
      </c>
    </row>
    <row r="89" spans="2:5" x14ac:dyDescent="0.25">
      <c r="B89" s="2" t="s">
        <v>137</v>
      </c>
      <c r="C89" s="2" t="s">
        <v>119</v>
      </c>
      <c r="D89" s="35" t="s">
        <v>24</v>
      </c>
      <c r="E89" s="202">
        <v>367.31734554027253</v>
      </c>
    </row>
    <row r="90" spans="2:5" x14ac:dyDescent="0.25">
      <c r="B90" s="2" t="s">
        <v>137</v>
      </c>
      <c r="C90" s="2" t="s">
        <v>120</v>
      </c>
      <c r="D90" s="35" t="s">
        <v>24</v>
      </c>
      <c r="E90" s="202">
        <v>181.03</v>
      </c>
    </row>
    <row r="91" spans="2:5" x14ac:dyDescent="0.25">
      <c r="B91" s="2" t="s">
        <v>137</v>
      </c>
      <c r="C91" s="2" t="s">
        <v>121</v>
      </c>
      <c r="D91" s="35" t="s">
        <v>22</v>
      </c>
      <c r="E91" s="202">
        <v>2339.4554494399658</v>
      </c>
    </row>
    <row r="92" spans="2:5" x14ac:dyDescent="0.25">
      <c r="B92" s="2" t="s">
        <v>137</v>
      </c>
      <c r="C92" s="2" t="s">
        <v>121</v>
      </c>
      <c r="D92" s="35" t="s">
        <v>23</v>
      </c>
      <c r="E92" s="202">
        <v>1079.7486689722919</v>
      </c>
    </row>
    <row r="93" spans="2:5" x14ac:dyDescent="0.25">
      <c r="B93" s="2" t="s">
        <v>137</v>
      </c>
      <c r="C93" s="2" t="s">
        <v>121</v>
      </c>
      <c r="D93" s="35" t="s">
        <v>24</v>
      </c>
      <c r="E93" s="202">
        <v>179.95811149538201</v>
      </c>
    </row>
    <row r="94" spans="2:5" x14ac:dyDescent="0.25">
      <c r="B94" s="2" t="s">
        <v>137</v>
      </c>
      <c r="C94" s="2" t="s">
        <v>122</v>
      </c>
      <c r="D94" s="35" t="s">
        <v>22</v>
      </c>
      <c r="E94" s="202">
        <v>635.81715795270793</v>
      </c>
    </row>
    <row r="95" spans="2:5" x14ac:dyDescent="0.25">
      <c r="B95" s="2" t="s">
        <v>137</v>
      </c>
      <c r="C95" s="2" t="s">
        <v>122</v>
      </c>
      <c r="D95" s="35" t="s">
        <v>23</v>
      </c>
      <c r="E95" s="202">
        <v>293.45407290124979</v>
      </c>
    </row>
    <row r="96" spans="2:5" x14ac:dyDescent="0.25">
      <c r="B96" s="2" t="s">
        <v>137</v>
      </c>
      <c r="C96" s="2" t="s">
        <v>122</v>
      </c>
      <c r="D96" s="35" t="s">
        <v>24</v>
      </c>
      <c r="E96" s="202">
        <v>48.909012150208298</v>
      </c>
    </row>
    <row r="97" spans="2:5" x14ac:dyDescent="0.25">
      <c r="B97" s="2" t="s">
        <v>137</v>
      </c>
      <c r="C97" s="2" t="s">
        <v>98</v>
      </c>
      <c r="D97" s="35" t="s">
        <v>22</v>
      </c>
      <c r="E97" s="202">
        <v>18.479500000000002</v>
      </c>
    </row>
    <row r="98" spans="2:5" x14ac:dyDescent="0.25">
      <c r="B98" s="2" t="s">
        <v>137</v>
      </c>
      <c r="C98" s="2" t="s">
        <v>98</v>
      </c>
      <c r="D98" s="35" t="s">
        <v>23</v>
      </c>
      <c r="E98" s="202">
        <v>8.5289999999999999</v>
      </c>
    </row>
    <row r="99" spans="2:5" x14ac:dyDescent="0.25">
      <c r="B99" s="2" t="s">
        <v>137</v>
      </c>
      <c r="C99" s="2" t="s">
        <v>98</v>
      </c>
      <c r="D99" s="35" t="s">
        <v>24</v>
      </c>
      <c r="E99" s="202">
        <v>1.4215</v>
      </c>
    </row>
    <row r="100" spans="2:5" x14ac:dyDescent="0.25">
      <c r="B100" s="2" t="s">
        <v>137</v>
      </c>
      <c r="C100" s="2" t="s">
        <v>123</v>
      </c>
      <c r="D100" s="35" t="s">
        <v>22</v>
      </c>
      <c r="E100" s="202">
        <v>386.32294999999999</v>
      </c>
    </row>
    <row r="101" spans="2:5" x14ac:dyDescent="0.25">
      <c r="B101" s="2" t="s">
        <v>137</v>
      </c>
      <c r="C101" s="2" t="s">
        <v>123</v>
      </c>
      <c r="D101" s="35" t="s">
        <v>23</v>
      </c>
      <c r="E101" s="202">
        <v>178.30289999999999</v>
      </c>
    </row>
    <row r="102" spans="2:5" x14ac:dyDescent="0.25">
      <c r="B102" s="2" t="s">
        <v>137</v>
      </c>
      <c r="C102" s="2" t="s">
        <v>123</v>
      </c>
      <c r="D102" s="35" t="s">
        <v>24</v>
      </c>
      <c r="E102" s="202">
        <v>29.71715</v>
      </c>
    </row>
    <row r="103" spans="2:5" x14ac:dyDescent="0.25">
      <c r="B103" s="2" t="s">
        <v>137</v>
      </c>
      <c r="C103" s="2" t="s">
        <v>124</v>
      </c>
      <c r="D103" s="35" t="s">
        <v>22</v>
      </c>
      <c r="E103" s="202">
        <v>84.089421050944409</v>
      </c>
    </row>
    <row r="104" spans="2:5" x14ac:dyDescent="0.25">
      <c r="B104" s="2" t="s">
        <v>137</v>
      </c>
      <c r="C104" s="2" t="s">
        <v>124</v>
      </c>
      <c r="D104" s="35" t="s">
        <v>23</v>
      </c>
      <c r="E104" s="202">
        <v>38.810502023512804</v>
      </c>
    </row>
    <row r="105" spans="2:5" x14ac:dyDescent="0.25">
      <c r="B105" s="2" t="s">
        <v>137</v>
      </c>
      <c r="C105" s="2" t="s">
        <v>124</v>
      </c>
      <c r="D105" s="35" t="s">
        <v>24</v>
      </c>
      <c r="E105" s="202">
        <v>6.4684170039188009</v>
      </c>
    </row>
    <row r="106" spans="2:5" x14ac:dyDescent="0.25">
      <c r="B106" s="2" t="s">
        <v>137</v>
      </c>
      <c r="C106" s="2" t="s">
        <v>125</v>
      </c>
      <c r="D106" s="35" t="s">
        <v>21</v>
      </c>
      <c r="E106" s="202">
        <v>2056.3420150137081</v>
      </c>
    </row>
    <row r="107" spans="2:5" x14ac:dyDescent="0.25">
      <c r="B107" s="2" t="s">
        <v>137</v>
      </c>
      <c r="C107" s="2" t="s">
        <v>126</v>
      </c>
      <c r="D107" s="35" t="s">
        <v>21</v>
      </c>
      <c r="E107" s="202">
        <v>175.45000000000005</v>
      </c>
    </row>
    <row r="108" spans="2:5" x14ac:dyDescent="0.25">
      <c r="B108" s="2" t="s">
        <v>137</v>
      </c>
      <c r="C108" s="2" t="s">
        <v>127</v>
      </c>
      <c r="D108" s="35" t="s">
        <v>21</v>
      </c>
      <c r="E108" s="202">
        <v>201.74599999999998</v>
      </c>
    </row>
    <row r="109" spans="2:5" x14ac:dyDescent="0.25">
      <c r="B109" s="2" t="s">
        <v>137</v>
      </c>
      <c r="C109" s="2" t="s">
        <v>128</v>
      </c>
      <c r="D109" s="35" t="s">
        <v>21</v>
      </c>
      <c r="E109" s="202">
        <v>88.477519804038081</v>
      </c>
    </row>
    <row r="110" spans="2:5" x14ac:dyDescent="0.25">
      <c r="B110" s="2" t="s">
        <v>137</v>
      </c>
      <c r="C110" s="2" t="s">
        <v>129</v>
      </c>
      <c r="D110" s="35" t="s">
        <v>135</v>
      </c>
      <c r="E110" s="202">
        <v>3211.0377720029983</v>
      </c>
    </row>
    <row r="111" spans="2:5" x14ac:dyDescent="0.25">
      <c r="B111" s="2" t="s">
        <v>137</v>
      </c>
      <c r="C111" s="2" t="s">
        <v>130</v>
      </c>
      <c r="D111" s="35" t="s">
        <v>135</v>
      </c>
      <c r="E111" s="202">
        <v>17.880000000000003</v>
      </c>
    </row>
    <row r="112" spans="2:5" x14ac:dyDescent="0.25">
      <c r="B112" s="2" t="s">
        <v>138</v>
      </c>
      <c r="C112" s="2" t="s">
        <v>131</v>
      </c>
      <c r="D112" s="35" t="s">
        <v>22</v>
      </c>
      <c r="E112" s="202">
        <v>25</v>
      </c>
    </row>
    <row r="113" spans="2:5" x14ac:dyDescent="0.25">
      <c r="B113" s="2" t="s">
        <v>138</v>
      </c>
      <c r="C113" s="2" t="s">
        <v>20</v>
      </c>
      <c r="D113" s="35" t="s">
        <v>22</v>
      </c>
      <c r="E113" s="202">
        <v>400</v>
      </c>
    </row>
    <row r="114" spans="2:5" x14ac:dyDescent="0.25">
      <c r="B114" s="2" t="s">
        <v>138</v>
      </c>
      <c r="C114" s="2" t="s">
        <v>132</v>
      </c>
      <c r="D114" s="35" t="s">
        <v>22</v>
      </c>
      <c r="E114" s="202">
        <v>150</v>
      </c>
    </row>
    <row r="115" spans="2:5" x14ac:dyDescent="0.25">
      <c r="B115" s="2" t="s">
        <v>138</v>
      </c>
      <c r="C115" s="2" t="s">
        <v>59</v>
      </c>
      <c r="D115" s="35" t="s">
        <v>135</v>
      </c>
      <c r="E115" s="202">
        <v>1100</v>
      </c>
    </row>
    <row r="116" spans="2:5" x14ac:dyDescent="0.25">
      <c r="B116" s="2" t="s">
        <v>138</v>
      </c>
      <c r="C116" s="2" t="s">
        <v>133</v>
      </c>
      <c r="D116" s="35" t="s">
        <v>21</v>
      </c>
      <c r="E116" s="202">
        <v>9200</v>
      </c>
    </row>
    <row r="117" spans="2:5" x14ac:dyDescent="0.25">
      <c r="B117" s="2" t="s">
        <v>138</v>
      </c>
      <c r="C117" s="2" t="s">
        <v>134</v>
      </c>
      <c r="D117" s="35" t="s">
        <v>135</v>
      </c>
      <c r="E117" s="202">
        <v>1700</v>
      </c>
    </row>
  </sheetData>
  <autoFilter ref="B2:E117" xr:uid="{2BFA0E4D-6EA2-439F-9CD8-5EB163A8819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456E-D5B8-45FE-91AA-97131BBE2562}">
  <sheetPr>
    <tabColor rgb="FF00BED2"/>
  </sheetPr>
  <dimension ref="B2:D381"/>
  <sheetViews>
    <sheetView workbookViewId="0">
      <selection activeCell="B3" sqref="B3"/>
    </sheetView>
  </sheetViews>
  <sheetFormatPr defaultRowHeight="15" x14ac:dyDescent="0.25"/>
  <cols>
    <col min="1" max="1" width="2.7109375" style="2" customWidth="1"/>
    <col min="2" max="2" width="17.85546875" style="2" customWidth="1"/>
    <col min="3" max="4" width="23.28515625" style="2" customWidth="1"/>
    <col min="5" max="16384" width="9.140625" style="2"/>
  </cols>
  <sheetData>
    <row r="2" spans="2:4" ht="15.75" thickBot="1" x14ac:dyDescent="0.3">
      <c r="B2" s="4" t="s">
        <v>3</v>
      </c>
      <c r="C2" s="6" t="s">
        <v>4</v>
      </c>
      <c r="D2" s="7" t="s">
        <v>5</v>
      </c>
    </row>
    <row r="3" spans="2:4" ht="15.75" thickTop="1" x14ac:dyDescent="0.25">
      <c r="B3" s="2">
        <v>2022</v>
      </c>
      <c r="C3" s="3">
        <v>0</v>
      </c>
      <c r="D3" s="5">
        <v>110926</v>
      </c>
    </row>
    <row r="4" spans="2:4" x14ac:dyDescent="0.25">
      <c r="B4" s="2">
        <v>2022</v>
      </c>
      <c r="C4" s="3">
        <v>1</v>
      </c>
      <c r="D4" s="5">
        <v>164439</v>
      </c>
    </row>
    <row r="5" spans="2:4" x14ac:dyDescent="0.25">
      <c r="B5" s="2">
        <v>2022</v>
      </c>
      <c r="C5" s="3">
        <v>2</v>
      </c>
      <c r="D5" s="5">
        <v>131776</v>
      </c>
    </row>
    <row r="6" spans="2:4" x14ac:dyDescent="0.25">
      <c r="B6" s="2">
        <v>2022</v>
      </c>
      <c r="C6" s="3">
        <v>3</v>
      </c>
      <c r="D6" s="5">
        <v>83070</v>
      </c>
    </row>
    <row r="7" spans="2:4" x14ac:dyDescent="0.25">
      <c r="B7" s="2">
        <v>2022</v>
      </c>
      <c r="C7" s="3">
        <v>4</v>
      </c>
      <c r="D7" s="5">
        <v>48210</v>
      </c>
    </row>
    <row r="8" spans="2:4" x14ac:dyDescent="0.25">
      <c r="B8" s="2">
        <v>2022</v>
      </c>
      <c r="C8" s="3">
        <v>5</v>
      </c>
      <c r="D8" s="5">
        <v>27570</v>
      </c>
    </row>
    <row r="9" spans="2:4" x14ac:dyDescent="0.25">
      <c r="B9" s="2">
        <v>2022</v>
      </c>
      <c r="C9" s="3">
        <v>6</v>
      </c>
      <c r="D9" s="5">
        <v>14439</v>
      </c>
    </row>
    <row r="10" spans="2:4" x14ac:dyDescent="0.25">
      <c r="B10" s="2">
        <v>2022</v>
      </c>
      <c r="C10" s="3">
        <v>7</v>
      </c>
      <c r="D10" s="5">
        <v>6791</v>
      </c>
    </row>
    <row r="11" spans="2:4" x14ac:dyDescent="0.25">
      <c r="B11" s="2">
        <v>2022</v>
      </c>
      <c r="C11" s="3">
        <v>8</v>
      </c>
      <c r="D11" s="5">
        <v>2880</v>
      </c>
    </row>
    <row r="12" spans="2:4" x14ac:dyDescent="0.25">
      <c r="B12" s="2">
        <v>2022</v>
      </c>
      <c r="C12" s="3">
        <v>9</v>
      </c>
      <c r="D12" s="5">
        <v>1110</v>
      </c>
    </row>
    <row r="13" spans="2:4" x14ac:dyDescent="0.25">
      <c r="B13" s="2">
        <v>2022</v>
      </c>
      <c r="C13" s="3">
        <v>10</v>
      </c>
      <c r="D13" s="5">
        <v>339</v>
      </c>
    </row>
    <row r="14" spans="2:4" x14ac:dyDescent="0.25">
      <c r="B14" s="2">
        <v>2022</v>
      </c>
      <c r="C14" s="3">
        <v>11</v>
      </c>
      <c r="D14" s="5">
        <v>97</v>
      </c>
    </row>
    <row r="15" spans="2:4" x14ac:dyDescent="0.25">
      <c r="B15" s="2">
        <v>2022</v>
      </c>
      <c r="C15" s="3">
        <v>12</v>
      </c>
      <c r="D15" s="5">
        <v>17</v>
      </c>
    </row>
    <row r="16" spans="2:4" x14ac:dyDescent="0.25">
      <c r="B16" s="2">
        <v>2022</v>
      </c>
      <c r="C16" s="3">
        <v>13</v>
      </c>
      <c r="D16" s="5">
        <v>5</v>
      </c>
    </row>
    <row r="17" spans="2:4" x14ac:dyDescent="0.25">
      <c r="B17" s="2">
        <v>2022</v>
      </c>
      <c r="C17" s="3">
        <v>14</v>
      </c>
      <c r="D17" s="5">
        <v>1</v>
      </c>
    </row>
    <row r="18" spans="2:4" x14ac:dyDescent="0.25">
      <c r="B18" s="2">
        <v>2023</v>
      </c>
      <c r="C18" s="3">
        <v>0</v>
      </c>
      <c r="D18" s="5">
        <v>110150</v>
      </c>
    </row>
    <row r="19" spans="2:4" x14ac:dyDescent="0.25">
      <c r="B19" s="2">
        <v>2023</v>
      </c>
      <c r="C19" s="3">
        <v>1</v>
      </c>
      <c r="D19" s="5">
        <v>166210</v>
      </c>
    </row>
    <row r="20" spans="2:4" x14ac:dyDescent="0.25">
      <c r="B20" s="2">
        <v>2023</v>
      </c>
      <c r="C20" s="3">
        <v>2</v>
      </c>
      <c r="D20" s="5">
        <v>133672</v>
      </c>
    </row>
    <row r="21" spans="2:4" x14ac:dyDescent="0.25">
      <c r="B21" s="2">
        <v>2023</v>
      </c>
      <c r="C21" s="3">
        <v>3</v>
      </c>
      <c r="D21" s="2">
        <v>83828</v>
      </c>
    </row>
    <row r="22" spans="2:4" x14ac:dyDescent="0.25">
      <c r="B22" s="2">
        <v>2023</v>
      </c>
      <c r="C22" s="3">
        <v>4</v>
      </c>
      <c r="D22" s="2">
        <v>49396</v>
      </c>
    </row>
    <row r="23" spans="2:4" x14ac:dyDescent="0.25">
      <c r="B23" s="2">
        <v>2023</v>
      </c>
      <c r="C23" s="3">
        <v>5</v>
      </c>
      <c r="D23" s="2">
        <v>27847</v>
      </c>
    </row>
    <row r="24" spans="2:4" x14ac:dyDescent="0.25">
      <c r="B24" s="2">
        <v>2023</v>
      </c>
      <c r="C24" s="3">
        <v>6</v>
      </c>
      <c r="D24" s="2">
        <v>14587</v>
      </c>
    </row>
    <row r="25" spans="2:4" x14ac:dyDescent="0.25">
      <c r="B25" s="2">
        <v>2023</v>
      </c>
      <c r="C25" s="3">
        <v>7</v>
      </c>
      <c r="D25" s="2">
        <v>6969</v>
      </c>
    </row>
    <row r="26" spans="2:4" x14ac:dyDescent="0.25">
      <c r="B26" s="2">
        <v>2023</v>
      </c>
      <c r="C26" s="3">
        <v>8</v>
      </c>
      <c r="D26" s="2">
        <v>2927</v>
      </c>
    </row>
    <row r="27" spans="2:4" x14ac:dyDescent="0.25">
      <c r="B27" s="2">
        <v>2023</v>
      </c>
      <c r="C27" s="3">
        <v>9</v>
      </c>
      <c r="D27" s="2">
        <v>1086</v>
      </c>
    </row>
    <row r="28" spans="2:4" x14ac:dyDescent="0.25">
      <c r="B28" s="2">
        <v>2023</v>
      </c>
      <c r="C28" s="3">
        <v>10</v>
      </c>
      <c r="D28" s="2">
        <v>348</v>
      </c>
    </row>
    <row r="29" spans="2:4" x14ac:dyDescent="0.25">
      <c r="B29" s="2">
        <v>2023</v>
      </c>
      <c r="C29" s="3">
        <v>11</v>
      </c>
      <c r="D29" s="2">
        <v>111</v>
      </c>
    </row>
    <row r="30" spans="2:4" x14ac:dyDescent="0.25">
      <c r="B30" s="2">
        <v>2023</v>
      </c>
      <c r="C30" s="3">
        <v>12</v>
      </c>
      <c r="D30" s="2">
        <v>17</v>
      </c>
    </row>
    <row r="31" spans="2:4" x14ac:dyDescent="0.25">
      <c r="B31" s="2">
        <v>2023</v>
      </c>
      <c r="C31" s="3">
        <v>13</v>
      </c>
      <c r="D31" s="2">
        <v>3</v>
      </c>
    </row>
    <row r="32" spans="2:4" x14ac:dyDescent="0.25">
      <c r="B32" s="2">
        <v>2024</v>
      </c>
      <c r="C32" s="3">
        <v>0</v>
      </c>
      <c r="D32" s="2">
        <v>110467</v>
      </c>
    </row>
    <row r="33" spans="2:4" x14ac:dyDescent="0.25">
      <c r="B33" s="2">
        <v>2024</v>
      </c>
      <c r="C33" s="3">
        <v>1</v>
      </c>
      <c r="D33" s="2">
        <v>167199</v>
      </c>
    </row>
    <row r="34" spans="2:4" x14ac:dyDescent="0.25">
      <c r="B34" s="2">
        <v>2024</v>
      </c>
      <c r="C34" s="3">
        <v>2</v>
      </c>
      <c r="D34" s="2">
        <v>134485</v>
      </c>
    </row>
    <row r="35" spans="2:4" x14ac:dyDescent="0.25">
      <c r="B35" s="2">
        <v>2024</v>
      </c>
      <c r="C35" s="3">
        <v>3</v>
      </c>
      <c r="D35" s="2">
        <v>84844</v>
      </c>
    </row>
    <row r="36" spans="2:4" x14ac:dyDescent="0.25">
      <c r="B36" s="2">
        <v>2024</v>
      </c>
      <c r="C36" s="3">
        <v>4</v>
      </c>
      <c r="D36" s="2">
        <v>50040</v>
      </c>
    </row>
    <row r="37" spans="2:4" x14ac:dyDescent="0.25">
      <c r="B37" s="2">
        <v>2024</v>
      </c>
      <c r="C37" s="3">
        <v>5</v>
      </c>
      <c r="D37" s="2">
        <v>28608</v>
      </c>
    </row>
    <row r="38" spans="2:4" x14ac:dyDescent="0.25">
      <c r="B38" s="2">
        <v>2024</v>
      </c>
      <c r="C38" s="3">
        <v>6</v>
      </c>
      <c r="D38" s="2">
        <v>14890</v>
      </c>
    </row>
    <row r="39" spans="2:4" x14ac:dyDescent="0.25">
      <c r="B39" s="2">
        <v>2024</v>
      </c>
      <c r="C39" s="3">
        <v>7</v>
      </c>
      <c r="D39" s="2">
        <v>7184</v>
      </c>
    </row>
    <row r="40" spans="2:4" x14ac:dyDescent="0.25">
      <c r="B40" s="2">
        <v>2024</v>
      </c>
      <c r="C40" s="3">
        <v>8</v>
      </c>
      <c r="D40" s="2">
        <v>3026</v>
      </c>
    </row>
    <row r="41" spans="2:4" x14ac:dyDescent="0.25">
      <c r="B41" s="2">
        <v>2024</v>
      </c>
      <c r="C41" s="3">
        <v>9</v>
      </c>
      <c r="D41" s="2">
        <v>1076</v>
      </c>
    </row>
    <row r="42" spans="2:4" x14ac:dyDescent="0.25">
      <c r="B42" s="2">
        <v>2024</v>
      </c>
      <c r="C42" s="3">
        <v>10</v>
      </c>
      <c r="D42" s="2">
        <v>365</v>
      </c>
    </row>
    <row r="43" spans="2:4" x14ac:dyDescent="0.25">
      <c r="B43" s="2">
        <v>2024</v>
      </c>
      <c r="C43" s="3">
        <v>11</v>
      </c>
      <c r="D43" s="2">
        <v>87</v>
      </c>
    </row>
    <row r="44" spans="2:4" x14ac:dyDescent="0.25">
      <c r="B44" s="2">
        <v>2024</v>
      </c>
      <c r="C44" s="3">
        <v>12</v>
      </c>
      <c r="D44" s="2">
        <v>20</v>
      </c>
    </row>
    <row r="45" spans="2:4" x14ac:dyDescent="0.25">
      <c r="B45" s="2">
        <v>2024</v>
      </c>
      <c r="C45" s="3">
        <v>13</v>
      </c>
      <c r="D45" s="2">
        <v>6</v>
      </c>
    </row>
    <row r="46" spans="2:4" x14ac:dyDescent="0.25">
      <c r="B46" s="2">
        <v>2025</v>
      </c>
      <c r="C46" s="3">
        <v>0</v>
      </c>
      <c r="D46" s="2">
        <v>110245</v>
      </c>
    </row>
    <row r="47" spans="2:4" x14ac:dyDescent="0.25">
      <c r="B47" s="2">
        <v>2025</v>
      </c>
      <c r="C47" s="3">
        <v>1</v>
      </c>
      <c r="D47" s="2">
        <v>166712</v>
      </c>
    </row>
    <row r="48" spans="2:4" x14ac:dyDescent="0.25">
      <c r="B48" s="2">
        <v>2025</v>
      </c>
      <c r="C48" s="3">
        <v>2</v>
      </c>
      <c r="D48" s="2">
        <v>136002</v>
      </c>
    </row>
    <row r="49" spans="2:4" x14ac:dyDescent="0.25">
      <c r="B49" s="2">
        <v>2025</v>
      </c>
      <c r="C49" s="3">
        <v>3</v>
      </c>
      <c r="D49" s="2">
        <v>85784</v>
      </c>
    </row>
    <row r="50" spans="2:4" x14ac:dyDescent="0.25">
      <c r="B50" s="2">
        <v>2025</v>
      </c>
      <c r="C50" s="3">
        <v>4</v>
      </c>
      <c r="D50" s="2">
        <v>51232</v>
      </c>
    </row>
    <row r="51" spans="2:4" x14ac:dyDescent="0.25">
      <c r="B51" s="2">
        <v>2025</v>
      </c>
      <c r="C51" s="3">
        <v>5</v>
      </c>
      <c r="D51" s="2">
        <v>28716</v>
      </c>
    </row>
    <row r="52" spans="2:4" x14ac:dyDescent="0.25">
      <c r="B52" s="2">
        <v>2025</v>
      </c>
      <c r="C52" s="3">
        <v>6</v>
      </c>
      <c r="D52" s="2">
        <v>15403</v>
      </c>
    </row>
    <row r="53" spans="2:4" x14ac:dyDescent="0.25">
      <c r="B53" s="2">
        <v>2025</v>
      </c>
      <c r="C53" s="3">
        <v>7</v>
      </c>
      <c r="D53" s="2">
        <v>7266</v>
      </c>
    </row>
    <row r="54" spans="2:4" x14ac:dyDescent="0.25">
      <c r="B54" s="2">
        <v>2025</v>
      </c>
      <c r="C54" s="3">
        <v>8</v>
      </c>
      <c r="D54" s="2">
        <v>3151</v>
      </c>
    </row>
    <row r="55" spans="2:4" x14ac:dyDescent="0.25">
      <c r="B55" s="2">
        <v>2025</v>
      </c>
      <c r="C55" s="3">
        <v>9</v>
      </c>
      <c r="D55" s="2">
        <v>1170</v>
      </c>
    </row>
    <row r="56" spans="2:4" x14ac:dyDescent="0.25">
      <c r="B56" s="2">
        <v>2025</v>
      </c>
      <c r="C56" s="3">
        <v>10</v>
      </c>
      <c r="D56" s="2">
        <v>396</v>
      </c>
    </row>
    <row r="57" spans="2:4" x14ac:dyDescent="0.25">
      <c r="B57" s="2">
        <v>2025</v>
      </c>
      <c r="C57" s="3">
        <v>11</v>
      </c>
      <c r="D57" s="2">
        <v>101</v>
      </c>
    </row>
    <row r="58" spans="2:4" x14ac:dyDescent="0.25">
      <c r="B58" s="2">
        <v>2025</v>
      </c>
      <c r="C58" s="3">
        <v>12</v>
      </c>
      <c r="D58" s="2">
        <v>30</v>
      </c>
    </row>
    <row r="59" spans="2:4" x14ac:dyDescent="0.25">
      <c r="B59" s="2">
        <v>2025</v>
      </c>
      <c r="C59" s="3">
        <v>13</v>
      </c>
      <c r="D59" s="2">
        <v>2</v>
      </c>
    </row>
    <row r="60" spans="2:4" x14ac:dyDescent="0.25">
      <c r="B60" s="2">
        <v>2026</v>
      </c>
      <c r="C60" s="3">
        <v>0</v>
      </c>
      <c r="D60" s="2">
        <v>109658</v>
      </c>
    </row>
    <row r="61" spans="2:4" x14ac:dyDescent="0.25">
      <c r="B61" s="2">
        <v>2026</v>
      </c>
      <c r="C61" s="3">
        <v>1</v>
      </c>
      <c r="D61" s="2">
        <v>168264</v>
      </c>
    </row>
    <row r="62" spans="2:4" x14ac:dyDescent="0.25">
      <c r="B62" s="2">
        <v>2026</v>
      </c>
      <c r="C62" s="3">
        <v>2</v>
      </c>
      <c r="D62" s="2">
        <v>135573</v>
      </c>
    </row>
    <row r="63" spans="2:4" x14ac:dyDescent="0.25">
      <c r="B63" s="2">
        <v>2026</v>
      </c>
      <c r="C63" s="3">
        <v>3</v>
      </c>
      <c r="D63" s="2">
        <v>86867</v>
      </c>
    </row>
    <row r="64" spans="2:4" x14ac:dyDescent="0.25">
      <c r="B64" s="2">
        <v>2026</v>
      </c>
      <c r="C64" s="3">
        <v>4</v>
      </c>
      <c r="D64" s="2">
        <v>51567</v>
      </c>
    </row>
    <row r="65" spans="2:4" x14ac:dyDescent="0.25">
      <c r="B65" s="2">
        <v>2026</v>
      </c>
      <c r="C65" s="3">
        <v>5</v>
      </c>
      <c r="D65" s="2">
        <v>29576</v>
      </c>
    </row>
    <row r="66" spans="2:4" x14ac:dyDescent="0.25">
      <c r="B66" s="2">
        <v>2026</v>
      </c>
      <c r="C66" s="3">
        <v>6</v>
      </c>
      <c r="D66" s="2">
        <v>15898</v>
      </c>
    </row>
    <row r="67" spans="2:4" x14ac:dyDescent="0.25">
      <c r="B67" s="2">
        <v>2026</v>
      </c>
      <c r="C67" s="3">
        <v>7</v>
      </c>
      <c r="D67" s="2">
        <v>7521</v>
      </c>
    </row>
    <row r="68" spans="2:4" x14ac:dyDescent="0.25">
      <c r="B68" s="2">
        <v>2026</v>
      </c>
      <c r="C68" s="3">
        <v>8</v>
      </c>
      <c r="D68" s="2">
        <v>3094</v>
      </c>
    </row>
    <row r="69" spans="2:4" x14ac:dyDescent="0.25">
      <c r="B69" s="2">
        <v>2026</v>
      </c>
      <c r="C69" s="3">
        <v>9</v>
      </c>
      <c r="D69" s="2">
        <v>1183</v>
      </c>
    </row>
    <row r="70" spans="2:4" x14ac:dyDescent="0.25">
      <c r="B70" s="2">
        <v>2026</v>
      </c>
      <c r="C70" s="3">
        <v>10</v>
      </c>
      <c r="D70" s="2">
        <v>399</v>
      </c>
    </row>
    <row r="71" spans="2:4" x14ac:dyDescent="0.25">
      <c r="B71" s="2">
        <v>2026</v>
      </c>
      <c r="C71" s="3">
        <v>11</v>
      </c>
      <c r="D71" s="2">
        <v>101</v>
      </c>
    </row>
    <row r="72" spans="2:4" x14ac:dyDescent="0.25">
      <c r="B72" s="2">
        <v>2026</v>
      </c>
      <c r="C72" s="3">
        <v>12</v>
      </c>
      <c r="D72" s="2">
        <v>20</v>
      </c>
    </row>
    <row r="73" spans="2:4" x14ac:dyDescent="0.25">
      <c r="B73" s="2">
        <v>2026</v>
      </c>
      <c r="C73" s="3">
        <v>13</v>
      </c>
      <c r="D73" s="2">
        <v>5</v>
      </c>
    </row>
    <row r="74" spans="2:4" x14ac:dyDescent="0.25">
      <c r="B74" s="2">
        <v>2026</v>
      </c>
      <c r="C74" s="3">
        <v>14</v>
      </c>
      <c r="D74" s="2">
        <v>2</v>
      </c>
    </row>
    <row r="75" spans="2:4" x14ac:dyDescent="0.25">
      <c r="B75" s="2">
        <v>2027</v>
      </c>
      <c r="C75" s="3">
        <v>0</v>
      </c>
      <c r="D75" s="2">
        <v>109137</v>
      </c>
    </row>
    <row r="76" spans="2:4" x14ac:dyDescent="0.25">
      <c r="B76" s="2">
        <v>2027</v>
      </c>
      <c r="C76" s="3">
        <v>1</v>
      </c>
      <c r="D76" s="2">
        <v>168430</v>
      </c>
    </row>
    <row r="77" spans="2:4" x14ac:dyDescent="0.25">
      <c r="B77" s="2">
        <v>2027</v>
      </c>
      <c r="C77" s="3">
        <v>2</v>
      </c>
      <c r="D77" s="2">
        <v>136924</v>
      </c>
    </row>
    <row r="78" spans="2:4" x14ac:dyDescent="0.25">
      <c r="B78" s="2">
        <v>2027</v>
      </c>
      <c r="C78" s="3">
        <v>3</v>
      </c>
      <c r="D78" s="2">
        <v>87321</v>
      </c>
    </row>
    <row r="79" spans="2:4" x14ac:dyDescent="0.25">
      <c r="B79" s="2">
        <v>2027</v>
      </c>
      <c r="C79" s="3">
        <v>4</v>
      </c>
      <c r="D79" s="2">
        <v>52214</v>
      </c>
    </row>
    <row r="80" spans="2:4" x14ac:dyDescent="0.25">
      <c r="B80" s="2">
        <v>2027</v>
      </c>
      <c r="C80" s="3">
        <v>5</v>
      </c>
      <c r="D80" s="2">
        <v>30154</v>
      </c>
    </row>
    <row r="81" spans="2:4" x14ac:dyDescent="0.25">
      <c r="B81" s="2">
        <v>2027</v>
      </c>
      <c r="C81" s="3">
        <v>6</v>
      </c>
      <c r="D81" s="2">
        <v>16078</v>
      </c>
    </row>
    <row r="82" spans="2:4" x14ac:dyDescent="0.25">
      <c r="B82" s="2">
        <v>2027</v>
      </c>
      <c r="C82" s="3">
        <v>7</v>
      </c>
      <c r="D82" s="2">
        <v>7757</v>
      </c>
    </row>
    <row r="83" spans="2:4" x14ac:dyDescent="0.25">
      <c r="B83" s="2">
        <v>2027</v>
      </c>
      <c r="C83" s="3">
        <v>8</v>
      </c>
      <c r="D83" s="2">
        <v>3253</v>
      </c>
    </row>
    <row r="84" spans="2:4" x14ac:dyDescent="0.25">
      <c r="B84" s="2">
        <v>2027</v>
      </c>
      <c r="C84" s="3">
        <v>9</v>
      </c>
      <c r="D84" s="2">
        <v>1303</v>
      </c>
    </row>
    <row r="85" spans="2:4" x14ac:dyDescent="0.25">
      <c r="B85" s="2">
        <v>2027</v>
      </c>
      <c r="C85" s="3">
        <v>10</v>
      </c>
      <c r="D85" s="2">
        <v>370</v>
      </c>
    </row>
    <row r="86" spans="2:4" x14ac:dyDescent="0.25">
      <c r="B86" s="2">
        <v>2027</v>
      </c>
      <c r="C86" s="3">
        <v>11</v>
      </c>
      <c r="D86" s="2">
        <v>98</v>
      </c>
    </row>
    <row r="87" spans="2:4" x14ac:dyDescent="0.25">
      <c r="B87" s="2">
        <v>2027</v>
      </c>
      <c r="C87" s="3">
        <v>12</v>
      </c>
      <c r="D87" s="2">
        <v>31</v>
      </c>
    </row>
    <row r="88" spans="2:4" x14ac:dyDescent="0.25">
      <c r="B88" s="2">
        <v>2027</v>
      </c>
      <c r="C88" s="3">
        <v>13</v>
      </c>
      <c r="D88" s="2">
        <v>6</v>
      </c>
    </row>
    <row r="89" spans="2:4" x14ac:dyDescent="0.25">
      <c r="B89" s="2">
        <v>2028</v>
      </c>
      <c r="C89" s="3">
        <v>0</v>
      </c>
      <c r="D89" s="2">
        <v>108952</v>
      </c>
    </row>
    <row r="90" spans="2:4" x14ac:dyDescent="0.25">
      <c r="B90" s="2">
        <v>2028</v>
      </c>
      <c r="C90" s="3">
        <v>1</v>
      </c>
      <c r="D90" s="2">
        <v>168704</v>
      </c>
    </row>
    <row r="91" spans="2:4" x14ac:dyDescent="0.25">
      <c r="B91" s="2">
        <v>2028</v>
      </c>
      <c r="C91" s="3">
        <v>2</v>
      </c>
      <c r="D91" s="2">
        <v>137988</v>
      </c>
    </row>
    <row r="92" spans="2:4" x14ac:dyDescent="0.25">
      <c r="B92" s="2">
        <v>2028</v>
      </c>
      <c r="C92" s="3">
        <v>3</v>
      </c>
      <c r="D92" s="2">
        <v>87766</v>
      </c>
    </row>
    <row r="93" spans="2:4" x14ac:dyDescent="0.25">
      <c r="B93" s="2">
        <v>2028</v>
      </c>
      <c r="C93" s="3">
        <v>4</v>
      </c>
      <c r="D93" s="2">
        <v>52741</v>
      </c>
    </row>
    <row r="94" spans="2:4" x14ac:dyDescent="0.25">
      <c r="B94" s="2">
        <v>2028</v>
      </c>
      <c r="C94" s="3">
        <v>5</v>
      </c>
      <c r="D94" s="2">
        <v>30604</v>
      </c>
    </row>
    <row r="95" spans="2:4" x14ac:dyDescent="0.25">
      <c r="B95" s="2">
        <v>2028</v>
      </c>
      <c r="C95" s="3">
        <v>6</v>
      </c>
      <c r="D95" s="2">
        <v>16480</v>
      </c>
    </row>
    <row r="96" spans="2:4" x14ac:dyDescent="0.25">
      <c r="B96" s="2">
        <v>2028</v>
      </c>
      <c r="C96" s="3">
        <v>7</v>
      </c>
      <c r="D96" s="2">
        <v>8019</v>
      </c>
    </row>
    <row r="97" spans="2:4" x14ac:dyDescent="0.25">
      <c r="B97" s="2">
        <v>2028</v>
      </c>
      <c r="C97" s="3">
        <v>8</v>
      </c>
      <c r="D97" s="2">
        <v>3409</v>
      </c>
    </row>
    <row r="98" spans="2:4" x14ac:dyDescent="0.25">
      <c r="B98" s="2">
        <v>2028</v>
      </c>
      <c r="C98" s="3">
        <v>9</v>
      </c>
      <c r="D98" s="2">
        <v>1321</v>
      </c>
    </row>
    <row r="99" spans="2:4" x14ac:dyDescent="0.25">
      <c r="B99" s="2">
        <v>2028</v>
      </c>
      <c r="C99" s="3">
        <v>10</v>
      </c>
      <c r="D99" s="2">
        <v>395</v>
      </c>
    </row>
    <row r="100" spans="2:4" x14ac:dyDescent="0.25">
      <c r="B100" s="2">
        <v>2028</v>
      </c>
      <c r="C100" s="3">
        <v>11</v>
      </c>
      <c r="D100" s="2">
        <v>121</v>
      </c>
    </row>
    <row r="101" spans="2:4" x14ac:dyDescent="0.25">
      <c r="B101" s="2">
        <v>2028</v>
      </c>
      <c r="C101" s="3">
        <v>12</v>
      </c>
      <c r="D101" s="2">
        <v>26</v>
      </c>
    </row>
    <row r="102" spans="2:4" x14ac:dyDescent="0.25">
      <c r="B102" s="2">
        <v>2028</v>
      </c>
      <c r="C102" s="3">
        <v>13</v>
      </c>
      <c r="D102" s="2">
        <v>6</v>
      </c>
    </row>
    <row r="103" spans="2:4" x14ac:dyDescent="0.25">
      <c r="B103" s="2">
        <v>2028</v>
      </c>
      <c r="C103" s="3">
        <v>14</v>
      </c>
      <c r="D103" s="2">
        <v>1</v>
      </c>
    </row>
    <row r="104" spans="2:4" x14ac:dyDescent="0.25">
      <c r="B104" s="2">
        <v>2029</v>
      </c>
      <c r="C104" s="3">
        <v>0</v>
      </c>
      <c r="D104" s="2">
        <v>108566</v>
      </c>
    </row>
    <row r="105" spans="2:4" x14ac:dyDescent="0.25">
      <c r="B105" s="2">
        <v>2029</v>
      </c>
      <c r="C105" s="3">
        <v>1</v>
      </c>
      <c r="D105" s="2">
        <v>168751</v>
      </c>
    </row>
    <row r="106" spans="2:4" x14ac:dyDescent="0.25">
      <c r="B106" s="2">
        <v>2029</v>
      </c>
      <c r="C106" s="3">
        <v>2</v>
      </c>
      <c r="D106" s="2">
        <v>138373</v>
      </c>
    </row>
    <row r="107" spans="2:4" x14ac:dyDescent="0.25">
      <c r="B107" s="2">
        <v>2029</v>
      </c>
      <c r="C107" s="3">
        <v>3</v>
      </c>
      <c r="D107" s="2">
        <v>89025</v>
      </c>
    </row>
    <row r="108" spans="2:4" x14ac:dyDescent="0.25">
      <c r="B108" s="2">
        <v>2029</v>
      </c>
      <c r="C108" s="3">
        <v>4</v>
      </c>
      <c r="D108" s="2">
        <v>53732</v>
      </c>
    </row>
    <row r="109" spans="2:4" x14ac:dyDescent="0.25">
      <c r="B109" s="2">
        <v>2029</v>
      </c>
      <c r="C109" s="3">
        <v>5</v>
      </c>
      <c r="D109" s="2">
        <v>31142</v>
      </c>
    </row>
    <row r="110" spans="2:4" x14ac:dyDescent="0.25">
      <c r="B110" s="2">
        <v>2029</v>
      </c>
      <c r="C110" s="3">
        <v>6</v>
      </c>
      <c r="D110" s="2">
        <v>16861</v>
      </c>
    </row>
    <row r="111" spans="2:4" x14ac:dyDescent="0.25">
      <c r="B111" s="2">
        <v>2029</v>
      </c>
      <c r="C111" s="3">
        <v>7</v>
      </c>
      <c r="D111" s="2">
        <v>8234</v>
      </c>
    </row>
    <row r="112" spans="2:4" x14ac:dyDescent="0.25">
      <c r="B112" s="2">
        <v>2029</v>
      </c>
      <c r="C112" s="3">
        <v>8</v>
      </c>
      <c r="D112" s="2">
        <v>3458</v>
      </c>
    </row>
    <row r="113" spans="2:4" x14ac:dyDescent="0.25">
      <c r="B113" s="2">
        <v>2029</v>
      </c>
      <c r="C113" s="3">
        <v>9</v>
      </c>
      <c r="D113" s="2">
        <v>1336</v>
      </c>
    </row>
    <row r="114" spans="2:4" x14ac:dyDescent="0.25">
      <c r="B114" s="2">
        <v>2029</v>
      </c>
      <c r="C114" s="3">
        <v>10</v>
      </c>
      <c r="D114" s="2">
        <v>434</v>
      </c>
    </row>
    <row r="115" spans="2:4" x14ac:dyDescent="0.25">
      <c r="B115" s="2">
        <v>2029</v>
      </c>
      <c r="C115" s="3">
        <v>11</v>
      </c>
      <c r="D115" s="2">
        <v>110</v>
      </c>
    </row>
    <row r="116" spans="2:4" x14ac:dyDescent="0.25">
      <c r="B116" s="2">
        <v>2029</v>
      </c>
      <c r="C116" s="3">
        <v>12</v>
      </c>
      <c r="D116" s="2">
        <v>29</v>
      </c>
    </row>
    <row r="117" spans="2:4" x14ac:dyDescent="0.25">
      <c r="B117" s="2">
        <v>2029</v>
      </c>
      <c r="C117" s="3">
        <v>13</v>
      </c>
      <c r="D117" s="2">
        <v>1</v>
      </c>
    </row>
    <row r="118" spans="2:4" x14ac:dyDescent="0.25">
      <c r="B118" s="2">
        <v>2029</v>
      </c>
      <c r="C118" s="3">
        <v>14</v>
      </c>
      <c r="D118" s="2">
        <v>1</v>
      </c>
    </row>
    <row r="119" spans="2:4" x14ac:dyDescent="0.25">
      <c r="B119" s="2">
        <v>2030</v>
      </c>
      <c r="C119" s="3">
        <v>0</v>
      </c>
      <c r="D119" s="2">
        <v>108540</v>
      </c>
    </row>
    <row r="120" spans="2:4" x14ac:dyDescent="0.25">
      <c r="B120" s="2">
        <v>2030</v>
      </c>
      <c r="C120" s="3">
        <v>1</v>
      </c>
      <c r="D120" s="2">
        <v>169744</v>
      </c>
    </row>
    <row r="121" spans="2:4" x14ac:dyDescent="0.25">
      <c r="B121" s="2">
        <v>2030</v>
      </c>
      <c r="C121" s="3">
        <v>2</v>
      </c>
      <c r="D121" s="2">
        <v>138839</v>
      </c>
    </row>
    <row r="122" spans="2:4" x14ac:dyDescent="0.25">
      <c r="B122" s="2">
        <v>2030</v>
      </c>
      <c r="C122" s="3">
        <v>3</v>
      </c>
      <c r="D122" s="2">
        <v>89458</v>
      </c>
    </row>
    <row r="123" spans="2:4" x14ac:dyDescent="0.25">
      <c r="B123" s="2">
        <v>2030</v>
      </c>
      <c r="C123" s="3">
        <v>4</v>
      </c>
      <c r="D123" s="2">
        <v>54363</v>
      </c>
    </row>
    <row r="124" spans="2:4" x14ac:dyDescent="0.25">
      <c r="B124" s="2">
        <v>2030</v>
      </c>
      <c r="C124" s="3">
        <v>5</v>
      </c>
      <c r="D124" s="2">
        <v>31603</v>
      </c>
    </row>
    <row r="125" spans="2:4" x14ac:dyDescent="0.25">
      <c r="B125" s="2">
        <v>2030</v>
      </c>
      <c r="C125" s="3">
        <v>6</v>
      </c>
      <c r="D125" s="2">
        <v>17108</v>
      </c>
    </row>
    <row r="126" spans="2:4" x14ac:dyDescent="0.25">
      <c r="B126" s="2">
        <v>2030</v>
      </c>
      <c r="C126" s="3">
        <v>7</v>
      </c>
      <c r="D126" s="2">
        <v>8357</v>
      </c>
    </row>
    <row r="127" spans="2:4" x14ac:dyDescent="0.25">
      <c r="B127" s="2">
        <v>2030</v>
      </c>
      <c r="C127" s="3">
        <v>8</v>
      </c>
      <c r="D127" s="2">
        <v>3570</v>
      </c>
    </row>
    <row r="128" spans="2:4" x14ac:dyDescent="0.25">
      <c r="B128" s="2">
        <v>2030</v>
      </c>
      <c r="C128" s="3">
        <v>9</v>
      </c>
      <c r="D128" s="2">
        <v>1338</v>
      </c>
    </row>
    <row r="129" spans="2:4" x14ac:dyDescent="0.25">
      <c r="B129" s="2">
        <v>2030</v>
      </c>
      <c r="C129" s="3">
        <v>10</v>
      </c>
      <c r="D129" s="2">
        <v>441</v>
      </c>
    </row>
    <row r="130" spans="2:4" x14ac:dyDescent="0.25">
      <c r="B130" s="2">
        <v>2030</v>
      </c>
      <c r="C130" s="3">
        <v>11</v>
      </c>
      <c r="D130" s="2">
        <v>117</v>
      </c>
    </row>
    <row r="131" spans="2:4" x14ac:dyDescent="0.25">
      <c r="B131" s="2">
        <v>2030</v>
      </c>
      <c r="C131" s="3">
        <v>12</v>
      </c>
      <c r="D131" s="2">
        <v>23</v>
      </c>
    </row>
    <row r="132" spans="2:4" x14ac:dyDescent="0.25">
      <c r="B132" s="2">
        <v>2030</v>
      </c>
      <c r="C132" s="3">
        <v>13</v>
      </c>
      <c r="D132" s="2">
        <v>6</v>
      </c>
    </row>
    <row r="133" spans="2:4" x14ac:dyDescent="0.25">
      <c r="B133" s="2">
        <v>2030</v>
      </c>
      <c r="C133" s="3">
        <v>14</v>
      </c>
      <c r="D133" s="2">
        <v>1</v>
      </c>
    </row>
    <row r="134" spans="2:4" x14ac:dyDescent="0.25">
      <c r="B134" s="2">
        <v>2031</v>
      </c>
      <c r="C134" s="3">
        <v>0</v>
      </c>
      <c r="D134" s="2">
        <v>108519</v>
      </c>
    </row>
    <row r="135" spans="2:4" x14ac:dyDescent="0.25">
      <c r="B135" s="2">
        <v>2031</v>
      </c>
      <c r="C135" s="3">
        <v>1</v>
      </c>
      <c r="D135" s="2">
        <v>169585</v>
      </c>
    </row>
    <row r="136" spans="2:4" x14ac:dyDescent="0.25">
      <c r="B136" s="2">
        <v>2031</v>
      </c>
      <c r="C136" s="3">
        <v>2</v>
      </c>
      <c r="D136" s="2">
        <v>138912</v>
      </c>
    </row>
    <row r="137" spans="2:4" x14ac:dyDescent="0.25">
      <c r="B137" s="2">
        <v>2031</v>
      </c>
      <c r="C137" s="3">
        <v>3</v>
      </c>
      <c r="D137" s="2">
        <v>90769</v>
      </c>
    </row>
    <row r="138" spans="2:4" x14ac:dyDescent="0.25">
      <c r="B138" s="2">
        <v>2031</v>
      </c>
      <c r="C138" s="3">
        <v>4</v>
      </c>
      <c r="D138" s="2">
        <v>55204</v>
      </c>
    </row>
    <row r="139" spans="2:4" x14ac:dyDescent="0.25">
      <c r="B139" s="2">
        <v>2031</v>
      </c>
      <c r="C139" s="3">
        <v>5</v>
      </c>
      <c r="D139" s="2">
        <v>32251</v>
      </c>
    </row>
    <row r="140" spans="2:4" x14ac:dyDescent="0.25">
      <c r="B140" s="2">
        <v>2031</v>
      </c>
      <c r="C140" s="3">
        <v>6</v>
      </c>
      <c r="D140" s="2">
        <v>17483</v>
      </c>
    </row>
    <row r="141" spans="2:4" x14ac:dyDescent="0.25">
      <c r="B141" s="2">
        <v>2031</v>
      </c>
      <c r="C141" s="3">
        <v>7</v>
      </c>
      <c r="D141" s="2">
        <v>8597</v>
      </c>
    </row>
    <row r="142" spans="2:4" x14ac:dyDescent="0.25">
      <c r="B142" s="2">
        <v>2031</v>
      </c>
      <c r="C142" s="3">
        <v>8</v>
      </c>
      <c r="D142" s="2">
        <v>3591</v>
      </c>
    </row>
    <row r="143" spans="2:4" x14ac:dyDescent="0.25">
      <c r="B143" s="2">
        <v>2031</v>
      </c>
      <c r="C143" s="3">
        <v>9</v>
      </c>
      <c r="D143" s="2">
        <v>1375</v>
      </c>
    </row>
    <row r="144" spans="2:4" x14ac:dyDescent="0.25">
      <c r="B144" s="2">
        <v>2031</v>
      </c>
      <c r="C144" s="3">
        <v>10</v>
      </c>
      <c r="D144" s="2">
        <v>417</v>
      </c>
    </row>
    <row r="145" spans="2:4" x14ac:dyDescent="0.25">
      <c r="B145" s="2">
        <v>2031</v>
      </c>
      <c r="C145" s="3">
        <v>11</v>
      </c>
      <c r="D145" s="2">
        <v>120</v>
      </c>
    </row>
    <row r="146" spans="2:4" x14ac:dyDescent="0.25">
      <c r="B146" s="2">
        <v>2031</v>
      </c>
      <c r="C146" s="3">
        <v>12</v>
      </c>
      <c r="D146" s="2">
        <v>26</v>
      </c>
    </row>
    <row r="147" spans="2:4" x14ac:dyDescent="0.25">
      <c r="B147" s="2">
        <v>2031</v>
      </c>
      <c r="C147" s="3">
        <v>13</v>
      </c>
      <c r="D147" s="2">
        <v>5</v>
      </c>
    </row>
    <row r="148" spans="2:4" x14ac:dyDescent="0.25">
      <c r="B148" s="2">
        <v>2031</v>
      </c>
      <c r="C148" s="3">
        <v>14</v>
      </c>
      <c r="D148" s="2">
        <v>2</v>
      </c>
    </row>
    <row r="149" spans="2:4" x14ac:dyDescent="0.25">
      <c r="B149" s="2">
        <v>2032</v>
      </c>
      <c r="C149" s="3">
        <v>0</v>
      </c>
      <c r="D149" s="2">
        <v>108461</v>
      </c>
    </row>
    <row r="150" spans="2:4" x14ac:dyDescent="0.25">
      <c r="B150" s="2">
        <v>2032</v>
      </c>
      <c r="C150" s="3">
        <v>1</v>
      </c>
      <c r="D150" s="2">
        <v>170095</v>
      </c>
    </row>
    <row r="151" spans="2:4" x14ac:dyDescent="0.25">
      <c r="B151" s="2">
        <v>2032</v>
      </c>
      <c r="C151" s="3">
        <v>2</v>
      </c>
      <c r="D151" s="2">
        <v>140317</v>
      </c>
    </row>
    <row r="152" spans="2:4" x14ac:dyDescent="0.25">
      <c r="B152" s="2">
        <v>2032</v>
      </c>
      <c r="C152" s="3">
        <v>3</v>
      </c>
      <c r="D152" s="2">
        <v>90760</v>
      </c>
    </row>
    <row r="153" spans="2:4" x14ac:dyDescent="0.25">
      <c r="B153" s="2">
        <v>2032</v>
      </c>
      <c r="C153" s="3">
        <v>4</v>
      </c>
      <c r="D153" s="2">
        <v>55394</v>
      </c>
    </row>
    <row r="154" spans="2:4" x14ac:dyDescent="0.25">
      <c r="B154" s="2">
        <v>2032</v>
      </c>
      <c r="C154" s="3">
        <v>5</v>
      </c>
      <c r="D154" s="2">
        <v>32621</v>
      </c>
    </row>
    <row r="155" spans="2:4" x14ac:dyDescent="0.25">
      <c r="B155" s="2">
        <v>2032</v>
      </c>
      <c r="C155" s="3">
        <v>6</v>
      </c>
      <c r="D155" s="2">
        <v>17977</v>
      </c>
    </row>
    <row r="156" spans="2:4" x14ac:dyDescent="0.25">
      <c r="B156" s="2">
        <v>2032</v>
      </c>
      <c r="C156" s="3">
        <v>7</v>
      </c>
      <c r="D156" s="2">
        <v>8716</v>
      </c>
    </row>
    <row r="157" spans="2:4" x14ac:dyDescent="0.25">
      <c r="B157" s="2">
        <v>2032</v>
      </c>
      <c r="C157" s="3">
        <v>8</v>
      </c>
      <c r="D157" s="2">
        <v>3729</v>
      </c>
    </row>
    <row r="158" spans="2:4" x14ac:dyDescent="0.25">
      <c r="B158" s="2">
        <v>2032</v>
      </c>
      <c r="C158" s="3">
        <v>9</v>
      </c>
      <c r="D158" s="2">
        <v>1411</v>
      </c>
    </row>
    <row r="159" spans="2:4" x14ac:dyDescent="0.25">
      <c r="B159" s="2">
        <v>2032</v>
      </c>
      <c r="C159" s="3">
        <v>10</v>
      </c>
      <c r="D159" s="2">
        <v>480</v>
      </c>
    </row>
    <row r="160" spans="2:4" x14ac:dyDescent="0.25">
      <c r="B160" s="2">
        <v>2032</v>
      </c>
      <c r="C160" s="3">
        <v>11</v>
      </c>
      <c r="D160" s="2">
        <v>125</v>
      </c>
    </row>
    <row r="161" spans="2:4" x14ac:dyDescent="0.25">
      <c r="B161" s="2">
        <v>2032</v>
      </c>
      <c r="C161" s="3">
        <v>12</v>
      </c>
      <c r="D161" s="2">
        <v>35</v>
      </c>
    </row>
    <row r="162" spans="2:4" x14ac:dyDescent="0.25">
      <c r="B162" s="2">
        <v>2032</v>
      </c>
      <c r="C162" s="3">
        <v>13</v>
      </c>
      <c r="D162" s="2">
        <v>6</v>
      </c>
    </row>
    <row r="163" spans="2:4" x14ac:dyDescent="0.25">
      <c r="B163" s="2">
        <v>2032</v>
      </c>
      <c r="C163" s="3">
        <v>14</v>
      </c>
      <c r="D163" s="2">
        <v>2</v>
      </c>
    </row>
    <row r="164" spans="2:4" x14ac:dyDescent="0.25">
      <c r="B164" s="2">
        <v>2033</v>
      </c>
      <c r="C164" s="3">
        <v>0</v>
      </c>
      <c r="D164" s="2">
        <v>108475</v>
      </c>
    </row>
    <row r="165" spans="2:4" x14ac:dyDescent="0.25">
      <c r="B165" s="2">
        <v>2033</v>
      </c>
      <c r="C165" s="3">
        <v>1</v>
      </c>
      <c r="D165" s="2">
        <v>170516</v>
      </c>
    </row>
    <row r="166" spans="2:4" x14ac:dyDescent="0.25">
      <c r="B166" s="2">
        <v>2033</v>
      </c>
      <c r="C166" s="3">
        <v>2</v>
      </c>
      <c r="D166" s="2">
        <v>140328</v>
      </c>
    </row>
    <row r="167" spans="2:4" x14ac:dyDescent="0.25">
      <c r="B167" s="2">
        <v>2033</v>
      </c>
      <c r="C167" s="3">
        <v>3</v>
      </c>
      <c r="D167" s="2">
        <v>91787</v>
      </c>
    </row>
    <row r="168" spans="2:4" x14ac:dyDescent="0.25">
      <c r="B168" s="2">
        <v>2033</v>
      </c>
      <c r="C168" s="3">
        <v>4</v>
      </c>
      <c r="D168" s="2">
        <v>55684</v>
      </c>
    </row>
    <row r="169" spans="2:4" x14ac:dyDescent="0.25">
      <c r="B169" s="2">
        <v>2033</v>
      </c>
      <c r="C169" s="3">
        <v>5</v>
      </c>
      <c r="D169" s="2">
        <v>33476</v>
      </c>
    </row>
    <row r="170" spans="2:4" x14ac:dyDescent="0.25">
      <c r="B170" s="2">
        <v>2033</v>
      </c>
      <c r="C170" s="3">
        <v>6</v>
      </c>
      <c r="D170" s="2">
        <v>18249</v>
      </c>
    </row>
    <row r="171" spans="2:4" x14ac:dyDescent="0.25">
      <c r="B171" s="2">
        <v>2033</v>
      </c>
      <c r="C171" s="3">
        <v>7</v>
      </c>
      <c r="D171" s="2">
        <v>8827</v>
      </c>
    </row>
    <row r="172" spans="2:4" x14ac:dyDescent="0.25">
      <c r="B172" s="2">
        <v>2033</v>
      </c>
      <c r="C172" s="3">
        <v>8</v>
      </c>
      <c r="D172" s="2">
        <v>3837</v>
      </c>
    </row>
    <row r="173" spans="2:4" x14ac:dyDescent="0.25">
      <c r="B173" s="2">
        <v>2033</v>
      </c>
      <c r="C173" s="3">
        <v>9</v>
      </c>
      <c r="D173" s="2">
        <v>1466</v>
      </c>
    </row>
    <row r="174" spans="2:4" x14ac:dyDescent="0.25">
      <c r="B174" s="2">
        <v>2033</v>
      </c>
      <c r="C174" s="3">
        <v>10</v>
      </c>
      <c r="D174" s="2">
        <v>508</v>
      </c>
    </row>
    <row r="175" spans="2:4" x14ac:dyDescent="0.25">
      <c r="B175" s="2">
        <v>2033</v>
      </c>
      <c r="C175" s="3">
        <v>11</v>
      </c>
      <c r="D175" s="2">
        <v>131</v>
      </c>
    </row>
    <row r="176" spans="2:4" x14ac:dyDescent="0.25">
      <c r="B176" s="2">
        <v>2033</v>
      </c>
      <c r="C176" s="3">
        <v>12</v>
      </c>
      <c r="D176" s="2">
        <v>33</v>
      </c>
    </row>
    <row r="177" spans="2:4" x14ac:dyDescent="0.25">
      <c r="B177" s="2">
        <v>2033</v>
      </c>
      <c r="C177" s="3">
        <v>13</v>
      </c>
      <c r="D177" s="2">
        <v>9</v>
      </c>
    </row>
    <row r="178" spans="2:4" x14ac:dyDescent="0.25">
      <c r="B178" s="2">
        <v>2033</v>
      </c>
      <c r="C178" s="3">
        <v>14</v>
      </c>
      <c r="D178" s="2">
        <v>2</v>
      </c>
    </row>
    <row r="179" spans="2:4" x14ac:dyDescent="0.25">
      <c r="B179" s="2">
        <v>2034</v>
      </c>
      <c r="C179" s="3">
        <v>0</v>
      </c>
      <c r="D179" s="2">
        <v>108199</v>
      </c>
    </row>
    <row r="180" spans="2:4" x14ac:dyDescent="0.25">
      <c r="B180" s="2">
        <v>2034</v>
      </c>
      <c r="C180" s="3">
        <v>1</v>
      </c>
      <c r="D180" s="2">
        <v>170450</v>
      </c>
    </row>
    <row r="181" spans="2:4" x14ac:dyDescent="0.25">
      <c r="B181" s="2">
        <v>2034</v>
      </c>
      <c r="C181" s="3">
        <v>2</v>
      </c>
      <c r="D181" s="2">
        <v>141676</v>
      </c>
    </row>
    <row r="182" spans="2:4" x14ac:dyDescent="0.25">
      <c r="B182" s="2">
        <v>2034</v>
      </c>
      <c r="C182" s="3">
        <v>3</v>
      </c>
      <c r="D182" s="2">
        <v>92227</v>
      </c>
    </row>
    <row r="183" spans="2:4" x14ac:dyDescent="0.25">
      <c r="B183" s="2">
        <v>2034</v>
      </c>
      <c r="C183" s="3">
        <v>4</v>
      </c>
      <c r="D183" s="2">
        <v>56915</v>
      </c>
    </row>
    <row r="184" spans="2:4" x14ac:dyDescent="0.25">
      <c r="B184" s="2">
        <v>2034</v>
      </c>
      <c r="C184" s="3">
        <v>5</v>
      </c>
      <c r="D184" s="2">
        <v>33363</v>
      </c>
    </row>
    <row r="185" spans="2:4" x14ac:dyDescent="0.25">
      <c r="B185" s="2">
        <v>2034</v>
      </c>
      <c r="C185" s="3">
        <v>6</v>
      </c>
      <c r="D185" s="2">
        <v>18425</v>
      </c>
    </row>
    <row r="186" spans="2:4" x14ac:dyDescent="0.25">
      <c r="B186" s="2">
        <v>2034</v>
      </c>
      <c r="C186" s="3">
        <v>7</v>
      </c>
      <c r="D186" s="2">
        <v>9030</v>
      </c>
    </row>
    <row r="187" spans="2:4" x14ac:dyDescent="0.25">
      <c r="B187" s="2">
        <v>2034</v>
      </c>
      <c r="C187" s="3">
        <v>8</v>
      </c>
      <c r="D187" s="2">
        <v>3975</v>
      </c>
    </row>
    <row r="188" spans="2:4" x14ac:dyDescent="0.25">
      <c r="B188" s="2">
        <v>2034</v>
      </c>
      <c r="C188" s="3">
        <v>9</v>
      </c>
      <c r="D188" s="2">
        <v>1521</v>
      </c>
    </row>
    <row r="189" spans="2:4" x14ac:dyDescent="0.25">
      <c r="B189" s="2">
        <v>2034</v>
      </c>
      <c r="C189" s="3">
        <v>10</v>
      </c>
      <c r="D189" s="2">
        <v>520</v>
      </c>
    </row>
    <row r="190" spans="2:4" x14ac:dyDescent="0.25">
      <c r="B190" s="2">
        <v>2034</v>
      </c>
      <c r="C190" s="3">
        <v>11</v>
      </c>
      <c r="D190" s="2">
        <v>156</v>
      </c>
    </row>
    <row r="191" spans="2:4" x14ac:dyDescent="0.25">
      <c r="B191" s="2">
        <v>2034</v>
      </c>
      <c r="C191" s="3">
        <v>12</v>
      </c>
      <c r="D191" s="2">
        <v>34</v>
      </c>
    </row>
    <row r="192" spans="2:4" x14ac:dyDescent="0.25">
      <c r="B192" s="2">
        <v>2034</v>
      </c>
      <c r="C192" s="3">
        <v>13</v>
      </c>
      <c r="D192" s="2">
        <v>8</v>
      </c>
    </row>
    <row r="193" spans="2:4" x14ac:dyDescent="0.25">
      <c r="B193" s="2">
        <v>2035</v>
      </c>
      <c r="C193" s="3">
        <v>0</v>
      </c>
      <c r="D193" s="2">
        <v>108154</v>
      </c>
    </row>
    <row r="194" spans="2:4" x14ac:dyDescent="0.25">
      <c r="B194" s="2">
        <v>2035</v>
      </c>
      <c r="C194" s="3">
        <v>1</v>
      </c>
      <c r="D194" s="2">
        <v>170539</v>
      </c>
    </row>
    <row r="195" spans="2:4" x14ac:dyDescent="0.25">
      <c r="B195" s="2">
        <v>2035</v>
      </c>
      <c r="C195" s="3">
        <v>2</v>
      </c>
      <c r="D195" s="2">
        <v>142151</v>
      </c>
    </row>
    <row r="196" spans="2:4" x14ac:dyDescent="0.25">
      <c r="B196" s="2">
        <v>2035</v>
      </c>
      <c r="C196" s="3">
        <v>3</v>
      </c>
      <c r="D196" s="2">
        <v>93153</v>
      </c>
    </row>
    <row r="197" spans="2:4" x14ac:dyDescent="0.25">
      <c r="B197" s="2">
        <v>2035</v>
      </c>
      <c r="C197" s="3">
        <v>4</v>
      </c>
      <c r="D197" s="2">
        <v>57535</v>
      </c>
    </row>
    <row r="198" spans="2:4" x14ac:dyDescent="0.25">
      <c r="B198" s="2">
        <v>2035</v>
      </c>
      <c r="C198" s="3">
        <v>5</v>
      </c>
      <c r="D198" s="2">
        <v>34021</v>
      </c>
    </row>
    <row r="199" spans="2:4" x14ac:dyDescent="0.25">
      <c r="B199" s="2">
        <v>2035</v>
      </c>
      <c r="C199" s="3">
        <v>6</v>
      </c>
      <c r="D199" s="2">
        <v>18669</v>
      </c>
    </row>
    <row r="200" spans="2:4" x14ac:dyDescent="0.25">
      <c r="B200" s="2">
        <v>2035</v>
      </c>
      <c r="C200" s="3">
        <v>7</v>
      </c>
      <c r="D200" s="2">
        <v>9096</v>
      </c>
    </row>
    <row r="201" spans="2:4" x14ac:dyDescent="0.25">
      <c r="B201" s="2">
        <v>2035</v>
      </c>
      <c r="C201" s="3">
        <v>8</v>
      </c>
      <c r="D201" s="2">
        <v>4058</v>
      </c>
    </row>
    <row r="202" spans="2:4" x14ac:dyDescent="0.25">
      <c r="B202" s="2">
        <v>2035</v>
      </c>
      <c r="C202" s="3">
        <v>9</v>
      </c>
      <c r="D202" s="2">
        <v>1503</v>
      </c>
    </row>
    <row r="203" spans="2:4" x14ac:dyDescent="0.25">
      <c r="B203" s="2">
        <v>2035</v>
      </c>
      <c r="C203" s="3">
        <v>10</v>
      </c>
      <c r="D203" s="2">
        <v>500</v>
      </c>
    </row>
    <row r="204" spans="2:4" x14ac:dyDescent="0.25">
      <c r="B204" s="2">
        <v>2035</v>
      </c>
      <c r="C204" s="3">
        <v>11</v>
      </c>
      <c r="D204" s="2">
        <v>125</v>
      </c>
    </row>
    <row r="205" spans="2:4" x14ac:dyDescent="0.25">
      <c r="B205" s="2">
        <v>2035</v>
      </c>
      <c r="C205" s="3">
        <v>12</v>
      </c>
      <c r="D205" s="2">
        <v>36</v>
      </c>
    </row>
    <row r="206" spans="2:4" x14ac:dyDescent="0.25">
      <c r="B206" s="2">
        <v>2035</v>
      </c>
      <c r="C206" s="3">
        <v>13</v>
      </c>
      <c r="D206" s="2">
        <v>5</v>
      </c>
    </row>
    <row r="207" spans="2:4" x14ac:dyDescent="0.25">
      <c r="B207" s="2">
        <v>2035</v>
      </c>
      <c r="C207" s="3">
        <v>14</v>
      </c>
      <c r="D207" s="2">
        <v>3</v>
      </c>
    </row>
    <row r="208" spans="2:4" x14ac:dyDescent="0.25">
      <c r="B208" s="2">
        <v>2036</v>
      </c>
      <c r="C208" s="3">
        <v>0</v>
      </c>
      <c r="D208" s="2">
        <v>108064</v>
      </c>
    </row>
    <row r="209" spans="2:4" x14ac:dyDescent="0.25">
      <c r="B209" s="2">
        <v>2036</v>
      </c>
      <c r="C209" s="3">
        <v>1</v>
      </c>
      <c r="D209" s="2">
        <v>171528</v>
      </c>
    </row>
    <row r="210" spans="2:4" x14ac:dyDescent="0.25">
      <c r="B210" s="2">
        <v>2036</v>
      </c>
      <c r="C210" s="3">
        <v>2</v>
      </c>
      <c r="D210" s="2">
        <v>142491</v>
      </c>
    </row>
    <row r="211" spans="2:4" x14ac:dyDescent="0.25">
      <c r="B211" s="2">
        <v>2036</v>
      </c>
      <c r="C211" s="3">
        <v>3</v>
      </c>
      <c r="D211" s="2">
        <v>93233</v>
      </c>
    </row>
    <row r="212" spans="2:4" x14ac:dyDescent="0.25">
      <c r="B212" s="2">
        <v>2036</v>
      </c>
      <c r="C212" s="3">
        <v>4</v>
      </c>
      <c r="D212" s="2">
        <v>57774</v>
      </c>
    </row>
    <row r="213" spans="2:4" x14ac:dyDescent="0.25">
      <c r="B213" s="2">
        <v>2036</v>
      </c>
      <c r="C213" s="3">
        <v>5</v>
      </c>
      <c r="D213" s="2">
        <v>34884</v>
      </c>
    </row>
    <row r="214" spans="2:4" x14ac:dyDescent="0.25">
      <c r="B214" s="2">
        <v>2036</v>
      </c>
      <c r="C214" s="3">
        <v>6</v>
      </c>
      <c r="D214" s="2">
        <v>18848</v>
      </c>
    </row>
    <row r="215" spans="2:4" x14ac:dyDescent="0.25">
      <c r="B215" s="2">
        <v>2036</v>
      </c>
      <c r="C215" s="3">
        <v>7</v>
      </c>
      <c r="D215" s="2">
        <v>9428</v>
      </c>
    </row>
    <row r="216" spans="2:4" x14ac:dyDescent="0.25">
      <c r="B216" s="2">
        <v>2036</v>
      </c>
      <c r="C216" s="3">
        <v>8</v>
      </c>
      <c r="D216" s="2">
        <v>4057</v>
      </c>
    </row>
    <row r="217" spans="2:4" x14ac:dyDescent="0.25">
      <c r="B217" s="2">
        <v>2036</v>
      </c>
      <c r="C217" s="3">
        <v>9</v>
      </c>
      <c r="D217" s="2">
        <v>1581</v>
      </c>
    </row>
    <row r="218" spans="2:4" x14ac:dyDescent="0.25">
      <c r="B218" s="2">
        <v>2036</v>
      </c>
      <c r="C218" s="3">
        <v>10</v>
      </c>
      <c r="D218" s="2">
        <v>485</v>
      </c>
    </row>
    <row r="219" spans="2:4" x14ac:dyDescent="0.25">
      <c r="B219" s="2">
        <v>2036</v>
      </c>
      <c r="C219" s="3">
        <v>11</v>
      </c>
      <c r="D219" s="2">
        <v>128</v>
      </c>
    </row>
    <row r="220" spans="2:4" x14ac:dyDescent="0.25">
      <c r="B220" s="2">
        <v>2036</v>
      </c>
      <c r="C220" s="3">
        <v>12</v>
      </c>
      <c r="D220" s="2">
        <v>28</v>
      </c>
    </row>
    <row r="221" spans="2:4" x14ac:dyDescent="0.25">
      <c r="B221" s="2">
        <v>2036</v>
      </c>
      <c r="C221" s="3">
        <v>13</v>
      </c>
      <c r="D221" s="2">
        <v>8</v>
      </c>
    </row>
    <row r="222" spans="2:4" x14ac:dyDescent="0.25">
      <c r="B222" s="2">
        <v>2037</v>
      </c>
      <c r="C222" s="3">
        <v>0</v>
      </c>
      <c r="D222" s="2">
        <v>108213</v>
      </c>
    </row>
    <row r="223" spans="2:4" x14ac:dyDescent="0.25">
      <c r="B223" s="2">
        <v>2037</v>
      </c>
      <c r="C223" s="3">
        <v>1</v>
      </c>
      <c r="D223" s="2">
        <v>172069</v>
      </c>
    </row>
    <row r="224" spans="2:4" x14ac:dyDescent="0.25">
      <c r="B224" s="2">
        <v>2037</v>
      </c>
      <c r="C224" s="3">
        <v>2</v>
      </c>
      <c r="D224" s="2">
        <v>142797</v>
      </c>
    </row>
    <row r="225" spans="2:4" x14ac:dyDescent="0.25">
      <c r="B225" s="2">
        <v>2037</v>
      </c>
      <c r="C225" s="3">
        <v>3</v>
      </c>
      <c r="D225" s="2">
        <v>94404</v>
      </c>
    </row>
    <row r="226" spans="2:4" x14ac:dyDescent="0.25">
      <c r="B226" s="2">
        <v>2037</v>
      </c>
      <c r="C226" s="3">
        <v>4</v>
      </c>
      <c r="D226" s="2">
        <v>57994</v>
      </c>
    </row>
    <row r="227" spans="2:4" x14ac:dyDescent="0.25">
      <c r="B227" s="2">
        <v>2037</v>
      </c>
      <c r="C227" s="3">
        <v>5</v>
      </c>
      <c r="D227" s="2">
        <v>34816</v>
      </c>
    </row>
    <row r="228" spans="2:4" x14ac:dyDescent="0.25">
      <c r="B228" s="2">
        <v>2037</v>
      </c>
      <c r="C228" s="3">
        <v>6</v>
      </c>
      <c r="D228" s="2">
        <v>19163</v>
      </c>
    </row>
    <row r="229" spans="2:4" x14ac:dyDescent="0.25">
      <c r="B229" s="2">
        <v>2037</v>
      </c>
      <c r="C229" s="3">
        <v>7</v>
      </c>
      <c r="D229" s="2">
        <v>9596</v>
      </c>
    </row>
    <row r="230" spans="2:4" x14ac:dyDescent="0.25">
      <c r="B230" s="2">
        <v>2037</v>
      </c>
      <c r="C230" s="3">
        <v>8</v>
      </c>
      <c r="D230" s="2">
        <v>4184</v>
      </c>
    </row>
    <row r="231" spans="2:4" x14ac:dyDescent="0.25">
      <c r="B231" s="2">
        <v>2037</v>
      </c>
      <c r="C231" s="3">
        <v>9</v>
      </c>
      <c r="D231" s="2">
        <v>1572</v>
      </c>
    </row>
    <row r="232" spans="2:4" x14ac:dyDescent="0.25">
      <c r="B232" s="2">
        <v>2037</v>
      </c>
      <c r="C232" s="3">
        <v>10</v>
      </c>
      <c r="D232" s="2">
        <v>522</v>
      </c>
    </row>
    <row r="233" spans="2:4" x14ac:dyDescent="0.25">
      <c r="B233" s="2">
        <v>2037</v>
      </c>
      <c r="C233" s="3">
        <v>11</v>
      </c>
      <c r="D233" s="2">
        <v>113</v>
      </c>
    </row>
    <row r="234" spans="2:4" x14ac:dyDescent="0.25">
      <c r="B234" s="2">
        <v>2037</v>
      </c>
      <c r="C234" s="3">
        <v>12</v>
      </c>
      <c r="D234" s="2">
        <v>34</v>
      </c>
    </row>
    <row r="235" spans="2:4" x14ac:dyDescent="0.25">
      <c r="B235" s="2">
        <v>2037</v>
      </c>
      <c r="C235" s="3">
        <v>13</v>
      </c>
      <c r="D235" s="2">
        <v>7</v>
      </c>
    </row>
    <row r="236" spans="2:4" x14ac:dyDescent="0.25">
      <c r="B236" s="2">
        <v>2038</v>
      </c>
      <c r="C236" s="3">
        <v>0</v>
      </c>
      <c r="D236" s="2">
        <v>108275</v>
      </c>
    </row>
    <row r="237" spans="2:4" x14ac:dyDescent="0.25">
      <c r="B237" s="2">
        <v>2038</v>
      </c>
      <c r="C237" s="3">
        <v>1</v>
      </c>
      <c r="D237" s="2">
        <v>171466</v>
      </c>
    </row>
    <row r="238" spans="2:4" x14ac:dyDescent="0.25">
      <c r="B238" s="2">
        <v>2038</v>
      </c>
      <c r="C238" s="3">
        <v>2</v>
      </c>
      <c r="D238" s="2">
        <v>143340</v>
      </c>
    </row>
    <row r="239" spans="2:4" x14ac:dyDescent="0.25">
      <c r="B239" s="2">
        <v>2038</v>
      </c>
      <c r="C239" s="3">
        <v>3</v>
      </c>
      <c r="D239" s="2">
        <v>95243</v>
      </c>
    </row>
    <row r="240" spans="2:4" x14ac:dyDescent="0.25">
      <c r="B240" s="2">
        <v>2038</v>
      </c>
      <c r="C240" s="3">
        <v>4</v>
      </c>
      <c r="D240" s="2">
        <v>58833</v>
      </c>
    </row>
    <row r="241" spans="2:4" x14ac:dyDescent="0.25">
      <c r="B241" s="2">
        <v>2038</v>
      </c>
      <c r="C241" s="3">
        <v>5</v>
      </c>
      <c r="D241" s="2">
        <v>35434</v>
      </c>
    </row>
    <row r="242" spans="2:4" x14ac:dyDescent="0.25">
      <c r="B242" s="2">
        <v>2038</v>
      </c>
      <c r="C242" s="3">
        <v>6</v>
      </c>
      <c r="D242" s="2">
        <v>19628</v>
      </c>
    </row>
    <row r="243" spans="2:4" x14ac:dyDescent="0.25">
      <c r="B243" s="2">
        <v>2038</v>
      </c>
      <c r="C243" s="3">
        <v>7</v>
      </c>
      <c r="D243" s="2">
        <v>9734</v>
      </c>
    </row>
    <row r="244" spans="2:4" x14ac:dyDescent="0.25">
      <c r="B244" s="2">
        <v>2038</v>
      </c>
      <c r="C244" s="3">
        <v>8</v>
      </c>
      <c r="D244" s="2">
        <v>4190</v>
      </c>
    </row>
    <row r="245" spans="2:4" x14ac:dyDescent="0.25">
      <c r="B245" s="2">
        <v>2038</v>
      </c>
      <c r="C245" s="3">
        <v>9</v>
      </c>
      <c r="D245" s="2">
        <v>1568</v>
      </c>
    </row>
    <row r="246" spans="2:4" x14ac:dyDescent="0.25">
      <c r="B246" s="2">
        <v>2038</v>
      </c>
      <c r="C246" s="3">
        <v>10</v>
      </c>
      <c r="D246" s="2">
        <v>533</v>
      </c>
    </row>
    <row r="247" spans="2:4" x14ac:dyDescent="0.25">
      <c r="B247" s="2">
        <v>2038</v>
      </c>
      <c r="C247" s="3">
        <v>11</v>
      </c>
      <c r="D247" s="2">
        <v>142</v>
      </c>
    </row>
    <row r="248" spans="2:4" x14ac:dyDescent="0.25">
      <c r="B248" s="2">
        <v>2038</v>
      </c>
      <c r="C248" s="3">
        <v>12</v>
      </c>
      <c r="D248" s="2">
        <v>25</v>
      </c>
    </row>
    <row r="249" spans="2:4" x14ac:dyDescent="0.25">
      <c r="B249" s="2">
        <v>2038</v>
      </c>
      <c r="C249" s="3">
        <v>13</v>
      </c>
      <c r="D249" s="2">
        <v>6</v>
      </c>
    </row>
    <row r="250" spans="2:4" x14ac:dyDescent="0.25">
      <c r="B250" s="2">
        <v>2039</v>
      </c>
      <c r="C250" s="3">
        <v>0</v>
      </c>
      <c r="D250" s="2">
        <v>107873</v>
      </c>
    </row>
    <row r="251" spans="2:4" x14ac:dyDescent="0.25">
      <c r="B251" s="2">
        <v>2039</v>
      </c>
      <c r="C251" s="3">
        <v>1</v>
      </c>
      <c r="D251" s="2">
        <v>172242</v>
      </c>
    </row>
    <row r="252" spans="2:4" x14ac:dyDescent="0.25">
      <c r="B252" s="2">
        <v>2039</v>
      </c>
      <c r="C252" s="3">
        <v>2</v>
      </c>
      <c r="D252" s="2">
        <v>144164</v>
      </c>
    </row>
    <row r="253" spans="2:4" x14ac:dyDescent="0.25">
      <c r="B253" s="2">
        <v>2039</v>
      </c>
      <c r="C253" s="3">
        <v>3</v>
      </c>
      <c r="D253" s="2">
        <v>95456</v>
      </c>
    </row>
    <row r="254" spans="2:4" x14ac:dyDescent="0.25">
      <c r="B254" s="2">
        <v>2039</v>
      </c>
      <c r="C254" s="3">
        <v>4</v>
      </c>
      <c r="D254" s="2">
        <v>59455</v>
      </c>
    </row>
    <row r="255" spans="2:4" x14ac:dyDescent="0.25">
      <c r="B255" s="2">
        <v>2039</v>
      </c>
      <c r="C255" s="3">
        <v>5</v>
      </c>
      <c r="D255" s="2">
        <v>35958</v>
      </c>
    </row>
    <row r="256" spans="2:4" x14ac:dyDescent="0.25">
      <c r="B256" s="2">
        <v>2039</v>
      </c>
      <c r="C256" s="3">
        <v>6</v>
      </c>
      <c r="D256" s="2">
        <v>19558</v>
      </c>
    </row>
    <row r="257" spans="2:4" x14ac:dyDescent="0.25">
      <c r="B257" s="2">
        <v>2039</v>
      </c>
      <c r="C257" s="3">
        <v>7</v>
      </c>
      <c r="D257" s="2">
        <v>9851</v>
      </c>
    </row>
    <row r="258" spans="2:4" x14ac:dyDescent="0.25">
      <c r="B258" s="2">
        <v>2039</v>
      </c>
      <c r="C258" s="3">
        <v>8</v>
      </c>
      <c r="D258" s="2">
        <v>4339</v>
      </c>
    </row>
    <row r="259" spans="2:4" x14ac:dyDescent="0.25">
      <c r="B259" s="2">
        <v>2039</v>
      </c>
      <c r="C259" s="3">
        <v>9</v>
      </c>
      <c r="D259" s="2">
        <v>1683</v>
      </c>
    </row>
    <row r="260" spans="2:4" x14ac:dyDescent="0.25">
      <c r="B260" s="2">
        <v>2039</v>
      </c>
      <c r="C260" s="3">
        <v>10</v>
      </c>
      <c r="D260" s="2">
        <v>538</v>
      </c>
    </row>
    <row r="261" spans="2:4" x14ac:dyDescent="0.25">
      <c r="B261" s="2">
        <v>2039</v>
      </c>
      <c r="C261" s="3">
        <v>11</v>
      </c>
      <c r="D261" s="2">
        <v>157</v>
      </c>
    </row>
    <row r="262" spans="2:4" x14ac:dyDescent="0.25">
      <c r="B262" s="2">
        <v>2039</v>
      </c>
      <c r="C262" s="3">
        <v>12</v>
      </c>
      <c r="D262" s="2">
        <v>32</v>
      </c>
    </row>
    <row r="263" spans="2:4" x14ac:dyDescent="0.25">
      <c r="B263" s="2">
        <v>2039</v>
      </c>
      <c r="C263" s="3">
        <v>13</v>
      </c>
      <c r="D263" s="2">
        <v>10</v>
      </c>
    </row>
    <row r="264" spans="2:4" x14ac:dyDescent="0.25">
      <c r="B264" s="2">
        <v>2039</v>
      </c>
      <c r="C264" s="3">
        <v>14</v>
      </c>
      <c r="D264" s="2">
        <v>1</v>
      </c>
    </row>
    <row r="265" spans="2:4" x14ac:dyDescent="0.25">
      <c r="B265" s="2">
        <v>2040</v>
      </c>
      <c r="C265" s="3">
        <v>0</v>
      </c>
      <c r="D265" s="2">
        <v>108356</v>
      </c>
    </row>
    <row r="266" spans="2:4" x14ac:dyDescent="0.25">
      <c r="B266" s="2">
        <v>2040</v>
      </c>
      <c r="C266" s="3">
        <v>1</v>
      </c>
      <c r="D266" s="2">
        <v>172989</v>
      </c>
    </row>
    <row r="267" spans="2:4" x14ac:dyDescent="0.25">
      <c r="B267" s="2">
        <v>2040</v>
      </c>
      <c r="C267" s="3">
        <v>2</v>
      </c>
      <c r="D267" s="2">
        <v>143908</v>
      </c>
    </row>
    <row r="268" spans="2:4" x14ac:dyDescent="0.25">
      <c r="B268" s="2">
        <v>2040</v>
      </c>
      <c r="C268" s="3">
        <v>3</v>
      </c>
      <c r="D268" s="2">
        <v>96070</v>
      </c>
    </row>
    <row r="269" spans="2:4" x14ac:dyDescent="0.25">
      <c r="B269" s="2">
        <v>2040</v>
      </c>
      <c r="C269" s="3">
        <v>4</v>
      </c>
      <c r="D269" s="2">
        <v>59515</v>
      </c>
    </row>
    <row r="270" spans="2:4" x14ac:dyDescent="0.25">
      <c r="B270" s="2">
        <v>2040</v>
      </c>
      <c r="C270" s="3">
        <v>5</v>
      </c>
      <c r="D270" s="2">
        <v>36333</v>
      </c>
    </row>
    <row r="271" spans="2:4" x14ac:dyDescent="0.25">
      <c r="B271" s="2">
        <v>2040</v>
      </c>
      <c r="C271" s="3">
        <v>6</v>
      </c>
      <c r="D271" s="2">
        <v>20248</v>
      </c>
    </row>
    <row r="272" spans="2:4" x14ac:dyDescent="0.25">
      <c r="B272" s="2">
        <v>2040</v>
      </c>
      <c r="C272" s="3">
        <v>7</v>
      </c>
      <c r="D272" s="2">
        <v>9996</v>
      </c>
    </row>
    <row r="273" spans="2:4" x14ac:dyDescent="0.25">
      <c r="B273" s="2">
        <v>2040</v>
      </c>
      <c r="C273" s="3">
        <v>8</v>
      </c>
      <c r="D273" s="2">
        <v>4360</v>
      </c>
    </row>
    <row r="274" spans="2:4" x14ac:dyDescent="0.25">
      <c r="B274" s="2">
        <v>2040</v>
      </c>
      <c r="C274" s="3">
        <v>9</v>
      </c>
      <c r="D274" s="2">
        <v>1754</v>
      </c>
    </row>
    <row r="275" spans="2:4" x14ac:dyDescent="0.25">
      <c r="B275" s="2">
        <v>2040</v>
      </c>
      <c r="C275" s="3">
        <v>10</v>
      </c>
      <c r="D275" s="2">
        <v>532</v>
      </c>
    </row>
    <row r="276" spans="2:4" x14ac:dyDescent="0.25">
      <c r="B276" s="2">
        <v>2040</v>
      </c>
      <c r="C276" s="3">
        <v>11</v>
      </c>
      <c r="D276" s="2">
        <v>154</v>
      </c>
    </row>
    <row r="277" spans="2:4" x14ac:dyDescent="0.25">
      <c r="B277" s="2">
        <v>2040</v>
      </c>
      <c r="C277" s="3">
        <v>12</v>
      </c>
      <c r="D277" s="2">
        <v>29</v>
      </c>
    </row>
    <row r="278" spans="2:4" x14ac:dyDescent="0.25">
      <c r="B278" s="2">
        <v>2040</v>
      </c>
      <c r="C278" s="3">
        <v>13</v>
      </c>
      <c r="D278" s="2">
        <v>5</v>
      </c>
    </row>
    <row r="279" spans="2:4" x14ac:dyDescent="0.25">
      <c r="B279" s="2">
        <v>2041</v>
      </c>
      <c r="C279" s="3">
        <v>0</v>
      </c>
      <c r="D279" s="2">
        <v>108400</v>
      </c>
    </row>
    <row r="280" spans="2:4" x14ac:dyDescent="0.25">
      <c r="B280" s="2">
        <v>2041</v>
      </c>
      <c r="C280" s="3">
        <v>1</v>
      </c>
      <c r="D280" s="2">
        <v>172596</v>
      </c>
    </row>
    <row r="281" spans="2:4" x14ac:dyDescent="0.25">
      <c r="B281" s="2">
        <v>2041</v>
      </c>
      <c r="C281" s="3">
        <v>2</v>
      </c>
      <c r="D281" s="2">
        <v>145416</v>
      </c>
    </row>
    <row r="282" spans="2:4" x14ac:dyDescent="0.25">
      <c r="B282" s="2">
        <v>2041</v>
      </c>
      <c r="C282" s="3">
        <v>3</v>
      </c>
      <c r="D282" s="2">
        <v>96305</v>
      </c>
    </row>
    <row r="283" spans="2:4" x14ac:dyDescent="0.25">
      <c r="B283" s="2">
        <v>2041</v>
      </c>
      <c r="C283" s="3">
        <v>4</v>
      </c>
      <c r="D283" s="2">
        <v>60569</v>
      </c>
    </row>
    <row r="284" spans="2:4" x14ac:dyDescent="0.25">
      <c r="B284" s="2">
        <v>2041</v>
      </c>
      <c r="C284" s="3">
        <v>5</v>
      </c>
      <c r="D284" s="2">
        <v>36429</v>
      </c>
    </row>
    <row r="285" spans="2:4" x14ac:dyDescent="0.25">
      <c r="B285" s="2">
        <v>2041</v>
      </c>
      <c r="C285" s="3">
        <v>6</v>
      </c>
      <c r="D285" s="2">
        <v>20371</v>
      </c>
    </row>
    <row r="286" spans="2:4" x14ac:dyDescent="0.25">
      <c r="B286" s="2">
        <v>2041</v>
      </c>
      <c r="C286" s="3">
        <v>7</v>
      </c>
      <c r="D286" s="2">
        <v>10272</v>
      </c>
    </row>
    <row r="287" spans="2:4" x14ac:dyDescent="0.25">
      <c r="B287" s="2">
        <v>2041</v>
      </c>
      <c r="C287" s="3">
        <v>8</v>
      </c>
      <c r="D287" s="2">
        <v>4382</v>
      </c>
    </row>
    <row r="288" spans="2:4" x14ac:dyDescent="0.25">
      <c r="B288" s="2">
        <v>2041</v>
      </c>
      <c r="C288" s="3">
        <v>9</v>
      </c>
      <c r="D288" s="2">
        <v>1707</v>
      </c>
    </row>
    <row r="289" spans="2:4" x14ac:dyDescent="0.25">
      <c r="B289" s="2">
        <v>2041</v>
      </c>
      <c r="C289" s="3">
        <v>10</v>
      </c>
      <c r="D289" s="2">
        <v>573</v>
      </c>
    </row>
    <row r="290" spans="2:4" x14ac:dyDescent="0.25">
      <c r="B290" s="2">
        <v>2041</v>
      </c>
      <c r="C290" s="3">
        <v>11</v>
      </c>
      <c r="D290" s="2">
        <v>123</v>
      </c>
    </row>
    <row r="291" spans="2:4" x14ac:dyDescent="0.25">
      <c r="B291" s="2">
        <v>2041</v>
      </c>
      <c r="C291" s="3">
        <v>12</v>
      </c>
      <c r="D291" s="2">
        <v>33</v>
      </c>
    </row>
    <row r="292" spans="2:4" x14ac:dyDescent="0.25">
      <c r="B292" s="2">
        <v>2041</v>
      </c>
      <c r="C292" s="3">
        <v>13</v>
      </c>
      <c r="D292" s="2">
        <v>6</v>
      </c>
    </row>
    <row r="293" spans="2:4" x14ac:dyDescent="0.25">
      <c r="B293" s="2">
        <v>2041</v>
      </c>
      <c r="C293" s="3">
        <v>14</v>
      </c>
      <c r="D293" s="2">
        <v>2</v>
      </c>
    </row>
    <row r="294" spans="2:4" x14ac:dyDescent="0.25">
      <c r="B294" s="2">
        <v>2042</v>
      </c>
      <c r="C294" s="3">
        <v>0</v>
      </c>
      <c r="D294" s="2">
        <v>109190</v>
      </c>
    </row>
    <row r="295" spans="2:4" x14ac:dyDescent="0.25">
      <c r="B295" s="2">
        <v>2042</v>
      </c>
      <c r="C295" s="3">
        <v>1</v>
      </c>
      <c r="D295" s="2">
        <v>173322</v>
      </c>
    </row>
    <row r="296" spans="2:4" x14ac:dyDescent="0.25">
      <c r="B296" s="2">
        <v>2042</v>
      </c>
      <c r="C296" s="3">
        <v>2</v>
      </c>
      <c r="D296" s="2">
        <v>144563</v>
      </c>
    </row>
    <row r="297" spans="2:4" x14ac:dyDescent="0.25">
      <c r="B297" s="2">
        <v>2042</v>
      </c>
      <c r="C297" s="3">
        <v>3</v>
      </c>
      <c r="D297" s="2">
        <v>97402</v>
      </c>
    </row>
    <row r="298" spans="2:4" x14ac:dyDescent="0.25">
      <c r="B298" s="2">
        <v>2042</v>
      </c>
      <c r="C298" s="3">
        <v>4</v>
      </c>
      <c r="D298" s="2">
        <v>61006</v>
      </c>
    </row>
    <row r="299" spans="2:4" x14ac:dyDescent="0.25">
      <c r="B299" s="2">
        <v>2042</v>
      </c>
      <c r="C299" s="3">
        <v>5</v>
      </c>
      <c r="D299" s="2">
        <v>36726</v>
      </c>
    </row>
    <row r="300" spans="2:4" x14ac:dyDescent="0.25">
      <c r="B300" s="2">
        <v>2042</v>
      </c>
      <c r="C300" s="3">
        <v>6</v>
      </c>
      <c r="D300" s="2">
        <v>20583</v>
      </c>
    </row>
    <row r="301" spans="2:4" x14ac:dyDescent="0.25">
      <c r="B301" s="2">
        <v>2042</v>
      </c>
      <c r="C301" s="3">
        <v>7</v>
      </c>
      <c r="D301" s="2">
        <v>10318</v>
      </c>
    </row>
    <row r="302" spans="2:4" x14ac:dyDescent="0.25">
      <c r="B302" s="2">
        <v>2042</v>
      </c>
      <c r="C302" s="3">
        <v>8</v>
      </c>
      <c r="D302" s="2">
        <v>4474</v>
      </c>
    </row>
    <row r="303" spans="2:4" x14ac:dyDescent="0.25">
      <c r="B303" s="2">
        <v>2042</v>
      </c>
      <c r="C303" s="3">
        <v>9</v>
      </c>
      <c r="D303" s="2">
        <v>1789</v>
      </c>
    </row>
    <row r="304" spans="2:4" x14ac:dyDescent="0.25">
      <c r="B304" s="2">
        <v>2042</v>
      </c>
      <c r="C304" s="3">
        <v>10</v>
      </c>
      <c r="D304" s="2">
        <v>590</v>
      </c>
    </row>
    <row r="305" spans="2:4" x14ac:dyDescent="0.25">
      <c r="B305" s="2">
        <v>2042</v>
      </c>
      <c r="C305" s="3">
        <v>11</v>
      </c>
      <c r="D305" s="2">
        <v>154</v>
      </c>
    </row>
    <row r="306" spans="2:4" x14ac:dyDescent="0.25">
      <c r="B306" s="2">
        <v>2042</v>
      </c>
      <c r="C306" s="3">
        <v>12</v>
      </c>
      <c r="D306" s="2">
        <v>38</v>
      </c>
    </row>
    <row r="307" spans="2:4" x14ac:dyDescent="0.25">
      <c r="B307" s="2">
        <v>2042</v>
      </c>
      <c r="C307" s="3">
        <v>13</v>
      </c>
      <c r="D307" s="2">
        <v>5</v>
      </c>
    </row>
    <row r="308" spans="2:4" x14ac:dyDescent="0.25">
      <c r="B308" s="2">
        <v>2043</v>
      </c>
      <c r="C308" s="3">
        <v>0</v>
      </c>
      <c r="D308" s="2">
        <v>108994</v>
      </c>
    </row>
    <row r="309" spans="2:4" x14ac:dyDescent="0.25">
      <c r="B309" s="2">
        <v>2043</v>
      </c>
      <c r="C309" s="3">
        <v>1</v>
      </c>
      <c r="D309" s="2">
        <v>173619</v>
      </c>
    </row>
    <row r="310" spans="2:4" x14ac:dyDescent="0.25">
      <c r="B310" s="2">
        <v>2043</v>
      </c>
      <c r="C310" s="3">
        <v>2</v>
      </c>
      <c r="D310" s="2">
        <v>145522</v>
      </c>
    </row>
    <row r="311" spans="2:4" x14ac:dyDescent="0.25">
      <c r="B311" s="2">
        <v>2043</v>
      </c>
      <c r="C311" s="3">
        <v>3</v>
      </c>
      <c r="D311" s="2">
        <v>97888</v>
      </c>
    </row>
    <row r="312" spans="2:4" x14ac:dyDescent="0.25">
      <c r="B312" s="2">
        <v>2043</v>
      </c>
      <c r="C312" s="3">
        <v>4</v>
      </c>
      <c r="D312" s="2">
        <v>61598</v>
      </c>
    </row>
    <row r="313" spans="2:4" x14ac:dyDescent="0.25">
      <c r="B313" s="2">
        <v>2043</v>
      </c>
      <c r="C313" s="3">
        <v>5</v>
      </c>
      <c r="D313" s="2">
        <v>37164</v>
      </c>
    </row>
    <row r="314" spans="2:4" x14ac:dyDescent="0.25">
      <c r="B314" s="2">
        <v>2043</v>
      </c>
      <c r="C314" s="3">
        <v>6</v>
      </c>
      <c r="D314" s="2">
        <v>20817</v>
      </c>
    </row>
    <row r="315" spans="2:4" x14ac:dyDescent="0.25">
      <c r="B315" s="2">
        <v>2043</v>
      </c>
      <c r="C315" s="3">
        <v>7</v>
      </c>
      <c r="D315" s="2">
        <v>10515</v>
      </c>
    </row>
    <row r="316" spans="2:4" x14ac:dyDescent="0.25">
      <c r="B316" s="2">
        <v>2043</v>
      </c>
      <c r="C316" s="3">
        <v>8</v>
      </c>
      <c r="D316" s="2">
        <v>4566</v>
      </c>
    </row>
    <row r="317" spans="2:4" x14ac:dyDescent="0.25">
      <c r="B317" s="2">
        <v>2043</v>
      </c>
      <c r="C317" s="3">
        <v>9</v>
      </c>
      <c r="D317" s="2">
        <v>1728</v>
      </c>
    </row>
    <row r="318" spans="2:4" x14ac:dyDescent="0.25">
      <c r="B318" s="2">
        <v>2043</v>
      </c>
      <c r="C318" s="3">
        <v>10</v>
      </c>
      <c r="D318" s="2">
        <v>567</v>
      </c>
    </row>
    <row r="319" spans="2:4" x14ac:dyDescent="0.25">
      <c r="B319" s="2">
        <v>2043</v>
      </c>
      <c r="C319" s="3">
        <v>11</v>
      </c>
      <c r="D319" s="2">
        <v>145</v>
      </c>
    </row>
    <row r="320" spans="2:4" x14ac:dyDescent="0.25">
      <c r="B320" s="2">
        <v>2043</v>
      </c>
      <c r="C320" s="3">
        <v>12</v>
      </c>
      <c r="D320" s="2">
        <v>20</v>
      </c>
    </row>
    <row r="321" spans="2:4" x14ac:dyDescent="0.25">
      <c r="B321" s="2">
        <v>2043</v>
      </c>
      <c r="C321" s="3">
        <v>13</v>
      </c>
      <c r="D321" s="2">
        <v>7</v>
      </c>
    </row>
    <row r="322" spans="2:4" x14ac:dyDescent="0.25">
      <c r="B322" s="2">
        <v>2044</v>
      </c>
      <c r="C322" s="3">
        <v>0</v>
      </c>
      <c r="D322" s="2">
        <v>108957</v>
      </c>
    </row>
    <row r="323" spans="2:4" x14ac:dyDescent="0.25">
      <c r="B323" s="2">
        <v>2044</v>
      </c>
      <c r="C323" s="3">
        <v>1</v>
      </c>
      <c r="D323" s="2">
        <v>173928</v>
      </c>
    </row>
    <row r="324" spans="2:4" x14ac:dyDescent="0.25">
      <c r="B324" s="2">
        <v>2044</v>
      </c>
      <c r="C324" s="3">
        <v>2</v>
      </c>
      <c r="D324" s="2">
        <v>146548</v>
      </c>
    </row>
    <row r="325" spans="2:4" x14ac:dyDescent="0.25">
      <c r="B325" s="2">
        <v>2044</v>
      </c>
      <c r="C325" s="3">
        <v>3</v>
      </c>
      <c r="D325" s="2">
        <v>98284</v>
      </c>
    </row>
    <row r="326" spans="2:4" x14ac:dyDescent="0.25">
      <c r="B326" s="2">
        <v>2044</v>
      </c>
      <c r="C326" s="3">
        <v>4</v>
      </c>
      <c r="D326" s="2">
        <v>61792</v>
      </c>
    </row>
    <row r="327" spans="2:4" x14ac:dyDescent="0.25">
      <c r="B327" s="2">
        <v>2044</v>
      </c>
      <c r="C327" s="3">
        <v>5</v>
      </c>
      <c r="D327" s="2">
        <v>37451</v>
      </c>
    </row>
    <row r="328" spans="2:4" x14ac:dyDescent="0.25">
      <c r="B328" s="2">
        <v>2044</v>
      </c>
      <c r="C328" s="3">
        <v>6</v>
      </c>
      <c r="D328" s="2">
        <v>21182</v>
      </c>
    </row>
    <row r="329" spans="2:4" x14ac:dyDescent="0.25">
      <c r="B329" s="2">
        <v>2044</v>
      </c>
      <c r="C329" s="3">
        <v>7</v>
      </c>
      <c r="D329" s="2">
        <v>10636</v>
      </c>
    </row>
    <row r="330" spans="2:4" x14ac:dyDescent="0.25">
      <c r="B330" s="2">
        <v>2044</v>
      </c>
      <c r="C330" s="3">
        <v>8</v>
      </c>
      <c r="D330" s="2">
        <v>4701</v>
      </c>
    </row>
    <row r="331" spans="2:4" x14ac:dyDescent="0.25">
      <c r="B331" s="2">
        <v>2044</v>
      </c>
      <c r="C331" s="3">
        <v>9</v>
      </c>
      <c r="D331" s="2">
        <v>1847</v>
      </c>
    </row>
    <row r="332" spans="2:4" x14ac:dyDescent="0.25">
      <c r="B332" s="2">
        <v>2044</v>
      </c>
      <c r="C332" s="3">
        <v>10</v>
      </c>
      <c r="D332" s="2">
        <v>559</v>
      </c>
    </row>
    <row r="333" spans="2:4" x14ac:dyDescent="0.25">
      <c r="B333" s="2">
        <v>2044</v>
      </c>
      <c r="C333" s="3">
        <v>11</v>
      </c>
      <c r="D333" s="2">
        <v>162</v>
      </c>
    </row>
    <row r="334" spans="2:4" x14ac:dyDescent="0.25">
      <c r="B334" s="2">
        <v>2044</v>
      </c>
      <c r="C334" s="3">
        <v>12</v>
      </c>
      <c r="D334" s="2">
        <v>37</v>
      </c>
    </row>
    <row r="335" spans="2:4" x14ac:dyDescent="0.25">
      <c r="B335" s="2">
        <v>2044</v>
      </c>
      <c r="C335" s="3">
        <v>13</v>
      </c>
      <c r="D335" s="2">
        <v>3</v>
      </c>
    </row>
    <row r="336" spans="2:4" x14ac:dyDescent="0.25">
      <c r="B336" s="2">
        <v>2044</v>
      </c>
      <c r="C336" s="3">
        <v>14</v>
      </c>
      <c r="D336" s="2">
        <v>1</v>
      </c>
    </row>
    <row r="337" spans="2:4" x14ac:dyDescent="0.25">
      <c r="B337" s="2">
        <v>2045</v>
      </c>
      <c r="C337" s="3">
        <v>0</v>
      </c>
      <c r="D337" s="2">
        <v>109345</v>
      </c>
    </row>
    <row r="338" spans="2:4" x14ac:dyDescent="0.25">
      <c r="B338" s="2">
        <v>2045</v>
      </c>
      <c r="C338" s="3">
        <v>1</v>
      </c>
      <c r="D338" s="2">
        <v>174072</v>
      </c>
    </row>
    <row r="339" spans="2:4" x14ac:dyDescent="0.25">
      <c r="B339" s="2">
        <v>2045</v>
      </c>
      <c r="C339" s="3">
        <v>2</v>
      </c>
      <c r="D339" s="2">
        <v>147233</v>
      </c>
    </row>
    <row r="340" spans="2:4" x14ac:dyDescent="0.25">
      <c r="B340" s="2">
        <v>2045</v>
      </c>
      <c r="C340" s="3">
        <v>3</v>
      </c>
      <c r="D340" s="2">
        <v>98497</v>
      </c>
    </row>
    <row r="341" spans="2:4" x14ac:dyDescent="0.25">
      <c r="B341" s="2">
        <v>2045</v>
      </c>
      <c r="C341" s="3">
        <v>4</v>
      </c>
      <c r="D341" s="2">
        <v>62083</v>
      </c>
    </row>
    <row r="342" spans="2:4" x14ac:dyDescent="0.25">
      <c r="B342" s="2">
        <v>2045</v>
      </c>
      <c r="C342" s="3">
        <v>5</v>
      </c>
      <c r="D342" s="2">
        <v>38201</v>
      </c>
    </row>
    <row r="343" spans="2:4" x14ac:dyDescent="0.25">
      <c r="B343" s="2">
        <v>2045</v>
      </c>
      <c r="C343" s="3">
        <v>6</v>
      </c>
      <c r="D343" s="2">
        <v>21390</v>
      </c>
    </row>
    <row r="344" spans="2:4" x14ac:dyDescent="0.25">
      <c r="B344" s="2">
        <v>2045</v>
      </c>
      <c r="C344" s="3">
        <v>7</v>
      </c>
      <c r="D344" s="2">
        <v>10837</v>
      </c>
    </row>
    <row r="345" spans="2:4" x14ac:dyDescent="0.25">
      <c r="B345" s="2">
        <v>2045</v>
      </c>
      <c r="C345" s="3">
        <v>8</v>
      </c>
      <c r="D345" s="2">
        <v>4755</v>
      </c>
    </row>
    <row r="346" spans="2:4" x14ac:dyDescent="0.25">
      <c r="B346" s="2">
        <v>2045</v>
      </c>
      <c r="C346" s="3">
        <v>9</v>
      </c>
      <c r="D346" s="2">
        <v>1817</v>
      </c>
    </row>
    <row r="347" spans="2:4" x14ac:dyDescent="0.25">
      <c r="B347" s="2">
        <v>2045</v>
      </c>
      <c r="C347" s="3">
        <v>10</v>
      </c>
      <c r="D347" s="2">
        <v>585</v>
      </c>
    </row>
    <row r="348" spans="2:4" x14ac:dyDescent="0.25">
      <c r="B348" s="2">
        <v>2045</v>
      </c>
      <c r="C348" s="3">
        <v>11</v>
      </c>
      <c r="D348" s="2">
        <v>164</v>
      </c>
    </row>
    <row r="349" spans="2:4" x14ac:dyDescent="0.25">
      <c r="B349" s="2">
        <v>2045</v>
      </c>
      <c r="C349" s="3">
        <v>12</v>
      </c>
      <c r="D349" s="2">
        <v>33</v>
      </c>
    </row>
    <row r="350" spans="2:4" x14ac:dyDescent="0.25">
      <c r="B350" s="2">
        <v>2045</v>
      </c>
      <c r="C350" s="3">
        <v>13</v>
      </c>
      <c r="D350" s="2">
        <v>10</v>
      </c>
    </row>
    <row r="351" spans="2:4" x14ac:dyDescent="0.25">
      <c r="B351" s="2">
        <v>2045</v>
      </c>
      <c r="C351" s="3">
        <v>15</v>
      </c>
      <c r="D351" s="2">
        <v>1</v>
      </c>
    </row>
    <row r="352" spans="2:4" x14ac:dyDescent="0.25">
      <c r="B352" s="2">
        <v>2046</v>
      </c>
      <c r="C352" s="3">
        <v>0</v>
      </c>
      <c r="D352" s="2">
        <v>110048</v>
      </c>
    </row>
    <row r="353" spans="2:4" x14ac:dyDescent="0.25">
      <c r="B353" s="2">
        <v>2046</v>
      </c>
      <c r="C353" s="3">
        <v>1</v>
      </c>
      <c r="D353" s="2">
        <v>174164</v>
      </c>
    </row>
    <row r="354" spans="2:4" x14ac:dyDescent="0.25">
      <c r="B354" s="2">
        <v>2046</v>
      </c>
      <c r="C354" s="3">
        <v>2</v>
      </c>
      <c r="D354" s="2">
        <v>147646</v>
      </c>
    </row>
    <row r="355" spans="2:4" x14ac:dyDescent="0.25">
      <c r="B355" s="2">
        <v>2046</v>
      </c>
      <c r="C355" s="3">
        <v>3</v>
      </c>
      <c r="D355" s="2">
        <v>99207</v>
      </c>
    </row>
    <row r="356" spans="2:4" x14ac:dyDescent="0.25">
      <c r="B356" s="2">
        <v>2046</v>
      </c>
      <c r="C356" s="3">
        <v>4</v>
      </c>
      <c r="D356" s="2">
        <v>62975</v>
      </c>
    </row>
    <row r="357" spans="2:4" x14ac:dyDescent="0.25">
      <c r="B357" s="2">
        <v>2046</v>
      </c>
      <c r="C357" s="3">
        <v>5</v>
      </c>
      <c r="D357" s="2">
        <v>37994</v>
      </c>
    </row>
    <row r="358" spans="2:4" x14ac:dyDescent="0.25">
      <c r="B358" s="2">
        <v>2046</v>
      </c>
      <c r="C358" s="3">
        <v>6</v>
      </c>
      <c r="D358" s="2">
        <v>21511</v>
      </c>
    </row>
    <row r="359" spans="2:4" x14ac:dyDescent="0.25">
      <c r="B359" s="2">
        <v>2046</v>
      </c>
      <c r="C359" s="3">
        <v>7</v>
      </c>
      <c r="D359" s="2">
        <v>10985</v>
      </c>
    </row>
    <row r="360" spans="2:4" x14ac:dyDescent="0.25">
      <c r="B360" s="2">
        <v>2046</v>
      </c>
      <c r="C360" s="3">
        <v>8</v>
      </c>
      <c r="D360" s="2">
        <v>4730</v>
      </c>
    </row>
    <row r="361" spans="2:4" x14ac:dyDescent="0.25">
      <c r="B361" s="2">
        <v>2046</v>
      </c>
      <c r="C361" s="3">
        <v>9</v>
      </c>
      <c r="D361" s="2">
        <v>1890</v>
      </c>
    </row>
    <row r="362" spans="2:4" x14ac:dyDescent="0.25">
      <c r="B362" s="2">
        <v>2046</v>
      </c>
      <c r="C362" s="3">
        <v>10</v>
      </c>
      <c r="D362" s="2">
        <v>595</v>
      </c>
    </row>
    <row r="363" spans="2:4" x14ac:dyDescent="0.25">
      <c r="B363" s="2">
        <v>2046</v>
      </c>
      <c r="C363" s="3">
        <v>11</v>
      </c>
      <c r="D363" s="2">
        <v>175</v>
      </c>
    </row>
    <row r="364" spans="2:4" x14ac:dyDescent="0.25">
      <c r="B364" s="2">
        <v>2046</v>
      </c>
      <c r="C364" s="3">
        <v>12</v>
      </c>
      <c r="D364" s="2">
        <v>33</v>
      </c>
    </row>
    <row r="365" spans="2:4" x14ac:dyDescent="0.25">
      <c r="B365" s="2">
        <v>2046</v>
      </c>
      <c r="C365" s="3">
        <v>13</v>
      </c>
      <c r="D365" s="2">
        <v>8</v>
      </c>
    </row>
    <row r="366" spans="2:4" x14ac:dyDescent="0.25">
      <c r="B366" s="2">
        <v>2046</v>
      </c>
      <c r="C366" s="3">
        <v>14</v>
      </c>
      <c r="D366" s="2">
        <v>1</v>
      </c>
    </row>
    <row r="367" spans="2:4" x14ac:dyDescent="0.25">
      <c r="B367" s="2">
        <v>2047</v>
      </c>
      <c r="C367" s="3">
        <v>0</v>
      </c>
      <c r="D367" s="2">
        <v>110013</v>
      </c>
    </row>
    <row r="368" spans="2:4" x14ac:dyDescent="0.25">
      <c r="B368" s="2">
        <v>2047</v>
      </c>
      <c r="C368" s="3">
        <v>1</v>
      </c>
      <c r="D368" s="2">
        <v>174845</v>
      </c>
    </row>
    <row r="369" spans="2:4" x14ac:dyDescent="0.25">
      <c r="B369" s="2">
        <v>2047</v>
      </c>
      <c r="C369" s="3">
        <v>2</v>
      </c>
      <c r="D369" s="2">
        <v>147469</v>
      </c>
    </row>
    <row r="370" spans="2:4" x14ac:dyDescent="0.25">
      <c r="B370" s="2">
        <v>2047</v>
      </c>
      <c r="C370" s="3">
        <v>3</v>
      </c>
      <c r="D370" s="2">
        <v>99366</v>
      </c>
    </row>
    <row r="371" spans="2:4" x14ac:dyDescent="0.25">
      <c r="B371" s="2">
        <v>2047</v>
      </c>
      <c r="C371" s="3">
        <v>4</v>
      </c>
      <c r="D371" s="2">
        <v>63997</v>
      </c>
    </row>
    <row r="372" spans="2:4" x14ac:dyDescent="0.25">
      <c r="B372" s="2">
        <v>2047</v>
      </c>
      <c r="C372" s="3">
        <v>5</v>
      </c>
      <c r="D372" s="2">
        <v>38609</v>
      </c>
    </row>
    <row r="373" spans="2:4" x14ac:dyDescent="0.25">
      <c r="B373" s="2">
        <v>2047</v>
      </c>
      <c r="C373" s="3">
        <v>6</v>
      </c>
      <c r="D373" s="2">
        <v>21737</v>
      </c>
    </row>
    <row r="374" spans="2:4" x14ac:dyDescent="0.25">
      <c r="B374" s="2">
        <v>2047</v>
      </c>
      <c r="C374" s="3">
        <v>7</v>
      </c>
      <c r="D374" s="2">
        <v>11142</v>
      </c>
    </row>
    <row r="375" spans="2:4" x14ac:dyDescent="0.25">
      <c r="B375" s="2">
        <v>2047</v>
      </c>
      <c r="C375" s="3">
        <v>8</v>
      </c>
      <c r="D375" s="2">
        <v>4923</v>
      </c>
    </row>
    <row r="376" spans="2:4" x14ac:dyDescent="0.25">
      <c r="B376" s="2">
        <v>2047</v>
      </c>
      <c r="C376" s="3">
        <v>9</v>
      </c>
      <c r="D376" s="2">
        <v>1881</v>
      </c>
    </row>
    <row r="377" spans="2:4" x14ac:dyDescent="0.25">
      <c r="B377" s="2">
        <v>2047</v>
      </c>
      <c r="C377" s="3">
        <v>10</v>
      </c>
      <c r="D377" s="2">
        <v>599</v>
      </c>
    </row>
    <row r="378" spans="2:4" x14ac:dyDescent="0.25">
      <c r="B378" s="2">
        <v>2047</v>
      </c>
      <c r="C378" s="3">
        <v>11</v>
      </c>
      <c r="D378" s="2">
        <v>190</v>
      </c>
    </row>
    <row r="379" spans="2:4" x14ac:dyDescent="0.25">
      <c r="B379" s="2">
        <v>2047</v>
      </c>
      <c r="C379" s="3">
        <v>12</v>
      </c>
      <c r="D379" s="2">
        <v>42</v>
      </c>
    </row>
    <row r="380" spans="2:4" x14ac:dyDescent="0.25">
      <c r="B380" s="2">
        <v>2047</v>
      </c>
      <c r="C380" s="3">
        <v>13</v>
      </c>
      <c r="D380" s="2">
        <v>11</v>
      </c>
    </row>
    <row r="381" spans="2:4" x14ac:dyDescent="0.25">
      <c r="B381" s="2">
        <v>2047</v>
      </c>
      <c r="C381" s="3">
        <v>14</v>
      </c>
      <c r="D381" s="2">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F5E2-4A4C-44C4-9ABA-578A83FCDB58}">
  <sheetPr>
    <tabColor rgb="FF00BED2"/>
  </sheetPr>
  <dimension ref="B2:I12"/>
  <sheetViews>
    <sheetView workbookViewId="0">
      <selection activeCell="I11" sqref="I11"/>
    </sheetView>
  </sheetViews>
  <sheetFormatPr defaultRowHeight="15" x14ac:dyDescent="0.25"/>
  <cols>
    <col min="1" max="1" width="2.7109375" style="9" customWidth="1"/>
    <col min="2" max="2" width="23" style="9" customWidth="1"/>
    <col min="3" max="4" width="9.140625" style="9"/>
    <col min="5" max="9" width="12.7109375" style="9" customWidth="1"/>
    <col min="10" max="16384" width="9.140625" style="9"/>
  </cols>
  <sheetData>
    <row r="2" spans="2:9" x14ac:dyDescent="0.25">
      <c r="B2" s="10" t="s">
        <v>6</v>
      </c>
      <c r="C2" s="11" t="s">
        <v>3</v>
      </c>
      <c r="D2" s="2"/>
      <c r="E2" s="2"/>
      <c r="F2" s="2"/>
      <c r="G2" s="2"/>
      <c r="H2" s="2"/>
      <c r="I2" s="2"/>
    </row>
    <row r="3" spans="2:9" x14ac:dyDescent="0.25">
      <c r="B3" s="2" t="s">
        <v>7</v>
      </c>
      <c r="C3" s="12">
        <v>2025</v>
      </c>
      <c r="D3" s="2"/>
      <c r="E3" s="2"/>
      <c r="F3" s="2"/>
      <c r="G3" s="2"/>
      <c r="H3" s="2"/>
      <c r="I3" s="2"/>
    </row>
    <row r="4" spans="2:9" x14ac:dyDescent="0.25">
      <c r="B4" s="2" t="s">
        <v>8</v>
      </c>
      <c r="C4" s="12">
        <v>2045</v>
      </c>
      <c r="D4" s="2"/>
      <c r="E4" s="2"/>
      <c r="F4" s="2"/>
      <c r="G4" s="2"/>
      <c r="H4" s="2"/>
      <c r="I4" s="2"/>
    </row>
    <row r="5" spans="2:9" x14ac:dyDescent="0.25">
      <c r="B5" s="2"/>
      <c r="C5" s="2"/>
      <c r="D5" s="2"/>
      <c r="E5" s="2"/>
      <c r="F5" s="2"/>
      <c r="G5" s="2"/>
      <c r="H5" s="2"/>
      <c r="I5" s="2"/>
    </row>
    <row r="6" spans="2:9" x14ac:dyDescent="0.25">
      <c r="B6" s="1"/>
      <c r="C6" s="203" t="s">
        <v>9</v>
      </c>
      <c r="D6" s="204"/>
      <c r="E6" s="203" t="s">
        <v>10</v>
      </c>
      <c r="F6" s="205"/>
      <c r="G6" s="203" t="s">
        <v>11</v>
      </c>
      <c r="H6" s="205"/>
      <c r="I6" s="2"/>
    </row>
    <row r="7" spans="2:9" x14ac:dyDescent="0.25">
      <c r="B7" s="10" t="s">
        <v>12</v>
      </c>
      <c r="C7" s="11" t="s">
        <v>13</v>
      </c>
      <c r="D7" s="10" t="s">
        <v>14</v>
      </c>
      <c r="E7" s="29" t="s">
        <v>7</v>
      </c>
      <c r="F7" s="30" t="s">
        <v>8</v>
      </c>
      <c r="G7" s="29" t="s">
        <v>7</v>
      </c>
      <c r="H7" s="30" t="s">
        <v>8</v>
      </c>
      <c r="I7" s="29" t="s">
        <v>15</v>
      </c>
    </row>
    <row r="8" spans="2:9" x14ac:dyDescent="0.25">
      <c r="B8" s="31" t="s">
        <v>16</v>
      </c>
      <c r="C8" s="12">
        <v>0</v>
      </c>
      <c r="D8" s="2">
        <v>2</v>
      </c>
      <c r="E8" s="12">
        <f>SUMIFS('INPUT | POPULATION'!$D:$D,'INPUT | POPULATION'!$B:$B,$C$3,'INPUT | POPULATION'!$C:$C,"&gt;="&amp;$C8,'INPUT | POPULATION'!$C:$C,"&lt;"&amp;$D8)</f>
        <v>276957</v>
      </c>
      <c r="F8" s="14">
        <f>SUMIFS('INPUT | POPULATION'!$D:$D,'INPUT | POPULATION'!$B:$B,$C$4,'INPUT | POPULATION'!$C:$C,"&gt;="&amp;$C8,'INPUT | POPULATION'!$C:$C,"&lt;"&amp;$D8)</f>
        <v>283417</v>
      </c>
      <c r="G8" s="15">
        <f>E8/E$12</f>
        <v>0.45686643242440739</v>
      </c>
      <c r="H8" s="16">
        <f t="shared" ref="H8:H11" si="0">F8/F$12</f>
        <v>0.42362818617596104</v>
      </c>
      <c r="I8" s="17">
        <f>(F8-E8)/E8</f>
        <v>2.3324920475019589E-2</v>
      </c>
    </row>
    <row r="9" spans="2:9" x14ac:dyDescent="0.25">
      <c r="B9" s="32" t="s">
        <v>17</v>
      </c>
      <c r="C9" s="12">
        <v>2</v>
      </c>
      <c r="D9" s="2">
        <v>6</v>
      </c>
      <c r="E9" s="12">
        <f>SUMIFS('INPUT | POPULATION'!$D:$D,'INPUT | POPULATION'!$B:$B,$C$3,'INPUT | POPULATION'!$C:$C,"&gt;="&amp;$C9,'INPUT | POPULATION'!$C:$C,"&lt;"&amp;$D9)</f>
        <v>301734</v>
      </c>
      <c r="F9" s="14">
        <f>SUMIFS('INPUT | POPULATION'!$D:$D,'INPUT | POPULATION'!$B:$B,$C$4,'INPUT | POPULATION'!$C:$C,"&gt;="&amp;$C9,'INPUT | POPULATION'!$C:$C,"&lt;"&amp;$D9)</f>
        <v>346014</v>
      </c>
      <c r="G9" s="15">
        <f t="shared" ref="G9:G11" si="1">E9/E$12</f>
        <v>0.49773840748255554</v>
      </c>
      <c r="H9" s="16">
        <f t="shared" si="0"/>
        <v>0.51719298140721615</v>
      </c>
      <c r="I9" s="17">
        <f t="shared" ref="I9:I12" si="2">(F9-E9)/E9</f>
        <v>0.1467517747419913</v>
      </c>
    </row>
    <row r="10" spans="2:9" x14ac:dyDescent="0.25">
      <c r="B10" s="33" t="s">
        <v>18</v>
      </c>
      <c r="C10" s="12">
        <v>6</v>
      </c>
      <c r="D10" s="2">
        <v>8</v>
      </c>
      <c r="E10" s="12">
        <f>SUMIFS('INPUT | POPULATION'!$D:$D,'INPUT | POPULATION'!$B:$B,$C$3,'INPUT | POPULATION'!$C:$C,"&gt;="&amp;$C10,'INPUT | POPULATION'!$C:$C,"&lt;"&amp;$D10)</f>
        <v>22669</v>
      </c>
      <c r="F10" s="14">
        <f>SUMIFS('INPUT | POPULATION'!$D:$D,'INPUT | POPULATION'!$B:$B,$C$4,'INPUT | POPULATION'!$C:$C,"&gt;="&amp;$C10,'INPUT | POPULATION'!$C:$C,"&lt;"&amp;$D10)</f>
        <v>32227</v>
      </c>
      <c r="G10" s="15">
        <f t="shared" si="1"/>
        <v>3.739463222315699E-2</v>
      </c>
      <c r="H10" s="16">
        <f t="shared" si="0"/>
        <v>4.8170242278666058E-2</v>
      </c>
      <c r="I10" s="17">
        <f t="shared" si="2"/>
        <v>0.42163306718426047</v>
      </c>
    </row>
    <row r="11" spans="2:9" x14ac:dyDescent="0.25">
      <c r="B11" s="34" t="s">
        <v>19</v>
      </c>
      <c r="C11" s="21">
        <v>8</v>
      </c>
      <c r="D11" s="22">
        <v>16</v>
      </c>
      <c r="E11" s="21">
        <f>SUMIFS('INPUT | POPULATION'!$D:$D,'INPUT | POPULATION'!$B:$B,$C$3,'INPUT | POPULATION'!$C:$C,"&gt;="&amp;$C11,'INPUT | POPULATION'!$C:$C,"&lt;"&amp;$D11)</f>
        <v>4850</v>
      </c>
      <c r="F11" s="23">
        <f>SUMIFS('INPUT | POPULATION'!$D:$D,'INPUT | POPULATION'!$B:$B,$C$4,'INPUT | POPULATION'!$C:$C,"&gt;="&amp;$C11,'INPUT | POPULATION'!$C:$C,"&lt;"&amp;$D11)</f>
        <v>7365</v>
      </c>
      <c r="G11" s="24">
        <f t="shared" si="1"/>
        <v>8.0005278698800746E-3</v>
      </c>
      <c r="H11" s="25">
        <f t="shared" si="0"/>
        <v>1.1008590138156684E-2</v>
      </c>
      <c r="I11" s="26">
        <f t="shared" si="2"/>
        <v>0.51855670103092788</v>
      </c>
    </row>
    <row r="12" spans="2:9" x14ac:dyDescent="0.25">
      <c r="B12" s="2"/>
      <c r="C12" s="2"/>
      <c r="D12" s="2"/>
      <c r="E12" s="27">
        <f>SUM(E8:E11)</f>
        <v>606210</v>
      </c>
      <c r="F12" s="28">
        <f>SUM(F8:F11)</f>
        <v>669023</v>
      </c>
      <c r="G12" s="2"/>
      <c r="H12" s="2"/>
      <c r="I12" s="26">
        <f t="shared" si="2"/>
        <v>0.10361590867851074</v>
      </c>
    </row>
  </sheetData>
  <mergeCells count="3">
    <mergeCell ref="C6:D6"/>
    <mergeCell ref="E6:F6"/>
    <mergeCell ref="G6: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002E-CA51-4BC4-8D7E-62AF0F4CCE44}">
  <sheetPr>
    <tabColor theme="1"/>
  </sheetPr>
  <dimension ref="B2:R24"/>
  <sheetViews>
    <sheetView workbookViewId="0"/>
  </sheetViews>
  <sheetFormatPr defaultRowHeight="15" x14ac:dyDescent="0.25"/>
  <cols>
    <col min="1" max="1" width="2.7109375" style="2" customWidth="1"/>
    <col min="2" max="2" width="39.42578125" style="2" bestFit="1" customWidth="1"/>
    <col min="3" max="10" width="9.140625" style="2"/>
    <col min="11" max="11" width="39.42578125" style="2" bestFit="1" customWidth="1"/>
    <col min="12" max="16384" width="9.140625" style="2"/>
  </cols>
  <sheetData>
    <row r="2" spans="2:18" x14ac:dyDescent="0.25">
      <c r="B2" s="206" t="s">
        <v>28</v>
      </c>
      <c r="C2" s="206"/>
      <c r="D2" s="206"/>
      <c r="E2" s="206"/>
      <c r="F2" s="206"/>
      <c r="G2" s="206"/>
      <c r="H2" s="206"/>
      <c r="I2" s="206"/>
      <c r="K2" s="204" t="s">
        <v>44</v>
      </c>
      <c r="L2" s="204"/>
      <c r="M2" s="204"/>
      <c r="N2" s="204"/>
      <c r="O2" s="204"/>
      <c r="P2" s="204"/>
      <c r="Q2" s="204"/>
      <c r="R2" s="204"/>
    </row>
    <row r="4" spans="2:18" x14ac:dyDescent="0.25">
      <c r="C4" s="207" t="s">
        <v>0</v>
      </c>
      <c r="D4" s="206"/>
      <c r="E4" s="206"/>
      <c r="F4" s="206"/>
      <c r="G4" s="206"/>
      <c r="H4" s="206"/>
      <c r="I4" s="206"/>
      <c r="L4" s="208" t="s">
        <v>26</v>
      </c>
      <c r="M4" s="209"/>
      <c r="N4" s="209"/>
      <c r="O4" s="209"/>
      <c r="P4" s="209"/>
      <c r="Q4" s="209"/>
      <c r="R4" s="209"/>
    </row>
    <row r="5" spans="2:18" x14ac:dyDescent="0.25">
      <c r="B5" s="37" t="s">
        <v>29</v>
      </c>
      <c r="C5" s="38">
        <v>1</v>
      </c>
      <c r="D5" s="37">
        <v>2</v>
      </c>
      <c r="E5" s="37">
        <v>3</v>
      </c>
      <c r="F5" s="37">
        <v>4</v>
      </c>
      <c r="G5" s="37">
        <v>5</v>
      </c>
      <c r="H5" s="39">
        <v>6</v>
      </c>
      <c r="I5" s="37" t="s">
        <v>30</v>
      </c>
      <c r="K5" s="40" t="s">
        <v>29</v>
      </c>
      <c r="L5" s="49" t="s">
        <v>45</v>
      </c>
      <c r="M5" s="50" t="s">
        <v>21</v>
      </c>
      <c r="N5" s="50" t="s">
        <v>22</v>
      </c>
      <c r="O5" s="50" t="s">
        <v>23</v>
      </c>
      <c r="P5" s="50" t="s">
        <v>24</v>
      </c>
      <c r="Q5" s="51" t="s">
        <v>25</v>
      </c>
      <c r="R5" s="40" t="s">
        <v>30</v>
      </c>
    </row>
    <row r="6" spans="2:18" x14ac:dyDescent="0.25">
      <c r="B6" s="2" t="s">
        <v>31</v>
      </c>
      <c r="C6" s="41">
        <v>0.17449999999999999</v>
      </c>
      <c r="D6" s="42">
        <v>4.02E-2</v>
      </c>
      <c r="E6" s="42">
        <v>1.9E-2</v>
      </c>
      <c r="F6" s="42">
        <v>4.7999999999999996E-3</v>
      </c>
      <c r="G6" s="42">
        <v>2E-3</v>
      </c>
      <c r="H6" s="43">
        <v>6.9999999999999999E-4</v>
      </c>
      <c r="I6" s="44">
        <v>0.2412</v>
      </c>
      <c r="K6" s="2" t="s">
        <v>41</v>
      </c>
      <c r="L6" s="59">
        <f t="shared" ref="L6:R9" si="0">C20/C$24</f>
        <v>0.49821337417049516</v>
      </c>
      <c r="M6" s="60">
        <f t="shared" si="0"/>
        <v>0.38022813688212925</v>
      </c>
      <c r="N6" s="60">
        <f t="shared" si="0"/>
        <v>0.33148019457956918</v>
      </c>
      <c r="O6" s="60">
        <f t="shared" si="0"/>
        <v>0.33689839572192509</v>
      </c>
      <c r="P6" s="60">
        <f t="shared" si="0"/>
        <v>0.23270440251572327</v>
      </c>
      <c r="Q6" s="61">
        <f t="shared" si="0"/>
        <v>0.27083333333333331</v>
      </c>
      <c r="R6" s="62">
        <f t="shared" si="0"/>
        <v>0.43805619438056198</v>
      </c>
    </row>
    <row r="7" spans="2:18" x14ac:dyDescent="0.25">
      <c r="B7" s="2" t="s">
        <v>32</v>
      </c>
      <c r="C7" s="41">
        <v>8.8099999999999998E-2</v>
      </c>
      <c r="D7" s="42">
        <v>2.6700000000000002E-2</v>
      </c>
      <c r="E7" s="42">
        <v>1.7899999999999999E-2</v>
      </c>
      <c r="F7" s="42">
        <v>4.1000000000000003E-3</v>
      </c>
      <c r="G7" s="42">
        <v>1.1000000000000001E-3</v>
      </c>
      <c r="H7" s="43">
        <v>2.9999999999999997E-4</v>
      </c>
      <c r="I7" s="44">
        <v>0.13819999999999996</v>
      </c>
      <c r="K7" s="2" t="s">
        <v>39</v>
      </c>
      <c r="L7" s="59">
        <f t="shared" si="0"/>
        <v>0.19908116385911179</v>
      </c>
      <c r="M7" s="60">
        <f t="shared" si="0"/>
        <v>0.24429657794676807</v>
      </c>
      <c r="N7" s="60">
        <f t="shared" si="0"/>
        <v>0.31619179986101459</v>
      </c>
      <c r="O7" s="60">
        <f t="shared" si="0"/>
        <v>0.27807486631016037</v>
      </c>
      <c r="P7" s="60">
        <f t="shared" si="0"/>
        <v>0.36477987421383645</v>
      </c>
      <c r="Q7" s="61">
        <f t="shared" si="0"/>
        <v>0.37499999999999994</v>
      </c>
      <c r="R7" s="62">
        <f t="shared" si="0"/>
        <v>0.23187681231876808</v>
      </c>
    </row>
    <row r="8" spans="2:18" x14ac:dyDescent="0.25">
      <c r="B8" s="2" t="s">
        <v>33</v>
      </c>
      <c r="C8" s="41">
        <v>5.8700000000000002E-2</v>
      </c>
      <c r="D8" s="42">
        <v>3.3799999999999997E-2</v>
      </c>
      <c r="E8" s="42">
        <v>2.58E-2</v>
      </c>
      <c r="F8" s="42">
        <v>6.1000000000000004E-3</v>
      </c>
      <c r="G8" s="42">
        <v>4.0000000000000001E-3</v>
      </c>
      <c r="H8" s="43">
        <v>1.1000000000000001E-3</v>
      </c>
      <c r="I8" s="44">
        <v>0.12949999999999998</v>
      </c>
      <c r="K8" s="2" t="s">
        <v>40</v>
      </c>
      <c r="L8" s="59">
        <f t="shared" si="0"/>
        <v>0.24842606772162668</v>
      </c>
      <c r="M8" s="60">
        <f t="shared" si="0"/>
        <v>0.22338403041825095</v>
      </c>
      <c r="N8" s="60">
        <f t="shared" si="0"/>
        <v>0.17164697706740792</v>
      </c>
      <c r="O8" s="60">
        <f t="shared" si="0"/>
        <v>0.15240641711229946</v>
      </c>
      <c r="P8" s="60">
        <f t="shared" si="0"/>
        <v>0.19496855345911948</v>
      </c>
      <c r="Q8" s="61">
        <f t="shared" si="0"/>
        <v>0.18749999999999997</v>
      </c>
      <c r="R8" s="62">
        <f t="shared" si="0"/>
        <v>0.22737726227377264</v>
      </c>
    </row>
    <row r="9" spans="2:18" x14ac:dyDescent="0.25">
      <c r="B9" s="2" t="s">
        <v>34</v>
      </c>
      <c r="C9" s="41">
        <v>5.8299999999999998E-2</v>
      </c>
      <c r="D9" s="42">
        <v>1.7600000000000001E-2</v>
      </c>
      <c r="E9" s="42">
        <v>1.9699999999999999E-2</v>
      </c>
      <c r="F9" s="42">
        <v>4.3E-3</v>
      </c>
      <c r="G9" s="42">
        <v>1.8E-3</v>
      </c>
      <c r="H9" s="43">
        <v>6.9999999999999999E-4</v>
      </c>
      <c r="I9" s="44">
        <v>0.10239999999999999</v>
      </c>
      <c r="K9" s="2" t="s">
        <v>42</v>
      </c>
      <c r="L9" s="59">
        <f t="shared" si="0"/>
        <v>5.427939424876637E-2</v>
      </c>
      <c r="M9" s="60">
        <f t="shared" si="0"/>
        <v>0.15209125475285171</v>
      </c>
      <c r="N9" s="60">
        <f t="shared" si="0"/>
        <v>0.18068102849200834</v>
      </c>
      <c r="O9" s="60">
        <f t="shared" si="0"/>
        <v>0.23262032085561493</v>
      </c>
      <c r="P9" s="60">
        <f t="shared" si="0"/>
        <v>0.20754716981132074</v>
      </c>
      <c r="Q9" s="61">
        <f t="shared" si="0"/>
        <v>0.16666666666666666</v>
      </c>
      <c r="R9" s="62">
        <f t="shared" si="0"/>
        <v>0.1026897310268973</v>
      </c>
    </row>
    <row r="10" spans="2:18" x14ac:dyDescent="0.25">
      <c r="B10" s="2" t="s">
        <v>35</v>
      </c>
      <c r="C10" s="41">
        <v>0</v>
      </c>
      <c r="D10" s="42">
        <v>5.8999999999999999E-3</v>
      </c>
      <c r="E10" s="42">
        <v>7.1000000000000004E-3</v>
      </c>
      <c r="F10" s="42">
        <v>3.0000000000000001E-3</v>
      </c>
      <c r="G10" s="42">
        <v>1.9E-3</v>
      </c>
      <c r="H10" s="43">
        <v>5.9999999999999995E-4</v>
      </c>
      <c r="I10" s="44">
        <v>1.8499999999999999E-2</v>
      </c>
      <c r="K10" s="45" t="s">
        <v>30</v>
      </c>
      <c r="L10" s="63">
        <f t="shared" ref="L10:R10" si="1">SUM(L6:L9)</f>
        <v>1</v>
      </c>
      <c r="M10" s="64">
        <f t="shared" si="1"/>
        <v>0.99999999999999989</v>
      </c>
      <c r="N10" s="64">
        <f t="shared" si="1"/>
        <v>1</v>
      </c>
      <c r="O10" s="64">
        <f t="shared" si="1"/>
        <v>0.99999999999999989</v>
      </c>
      <c r="P10" s="64">
        <f t="shared" si="1"/>
        <v>0.99999999999999989</v>
      </c>
      <c r="Q10" s="65">
        <f t="shared" si="1"/>
        <v>0.99999999999999989</v>
      </c>
      <c r="R10" s="64">
        <f t="shared" si="1"/>
        <v>1</v>
      </c>
    </row>
    <row r="11" spans="2:18" x14ac:dyDescent="0.25">
      <c r="B11" s="2" t="s">
        <v>36</v>
      </c>
      <c r="C11" s="41">
        <v>3.0200000000000001E-2</v>
      </c>
      <c r="D11" s="42">
        <v>1.3100000000000001E-2</v>
      </c>
      <c r="E11" s="42">
        <v>1.0800000000000001E-2</v>
      </c>
      <c r="F11" s="42">
        <v>3.7000000000000002E-3</v>
      </c>
      <c r="G11" s="42">
        <v>5.9999999999999995E-4</v>
      </c>
      <c r="H11" s="43">
        <v>2.9999999999999997E-4</v>
      </c>
      <c r="I11" s="44">
        <v>5.8700000000000016E-2</v>
      </c>
    </row>
    <row r="12" spans="2:18" x14ac:dyDescent="0.25">
      <c r="B12" s="2" t="s">
        <v>37</v>
      </c>
      <c r="C12" s="41">
        <v>0.14599999999999999</v>
      </c>
      <c r="D12" s="42">
        <v>4.1099999999999998E-2</v>
      </c>
      <c r="E12" s="42">
        <v>1.7600000000000001E-2</v>
      </c>
      <c r="F12" s="42">
        <v>2.7000000000000001E-3</v>
      </c>
      <c r="G12" s="42">
        <v>1.1999999999999999E-3</v>
      </c>
      <c r="H12" s="43">
        <v>2.9999999999999997E-4</v>
      </c>
      <c r="I12" s="44">
        <v>0.2089</v>
      </c>
    </row>
    <row r="13" spans="2:18" x14ac:dyDescent="0.25">
      <c r="B13" s="2" t="s">
        <v>38</v>
      </c>
      <c r="C13" s="41">
        <v>3.1899999999999998E-2</v>
      </c>
      <c r="D13" s="42">
        <v>3.2000000000000001E-2</v>
      </c>
      <c r="E13" s="42">
        <v>2.5999999999999999E-2</v>
      </c>
      <c r="F13" s="42">
        <v>8.6999999999999994E-3</v>
      </c>
      <c r="G13" s="42">
        <v>3.3E-3</v>
      </c>
      <c r="H13" s="43">
        <v>8.0000000000000004E-4</v>
      </c>
      <c r="I13" s="44">
        <v>0.10269999999999999</v>
      </c>
    </row>
    <row r="14" spans="2:18" x14ac:dyDescent="0.25">
      <c r="B14" s="45" t="s">
        <v>30</v>
      </c>
      <c r="C14" s="46">
        <v>0.58770000000000011</v>
      </c>
      <c r="D14" s="47">
        <v>0.2104</v>
      </c>
      <c r="E14" s="47">
        <v>0.1439</v>
      </c>
      <c r="F14" s="47">
        <v>3.7399999999999996E-2</v>
      </c>
      <c r="G14" s="47">
        <v>1.5900000000000001E-2</v>
      </c>
      <c r="H14" s="48">
        <v>4.8000000000000004E-3</v>
      </c>
      <c r="I14" s="47">
        <v>1.0000999999999998</v>
      </c>
    </row>
    <row r="16" spans="2:18" x14ac:dyDescent="0.25">
      <c r="B16" s="206" t="s">
        <v>43</v>
      </c>
      <c r="C16" s="206"/>
      <c r="D16" s="206"/>
      <c r="E16" s="206"/>
      <c r="F16" s="206"/>
      <c r="G16" s="206"/>
      <c r="H16" s="206"/>
      <c r="I16" s="206"/>
    </row>
    <row r="18" spans="2:9" x14ac:dyDescent="0.25">
      <c r="C18" s="207" t="s">
        <v>0</v>
      </c>
      <c r="D18" s="206"/>
      <c r="E18" s="206"/>
      <c r="F18" s="206"/>
      <c r="G18" s="206"/>
      <c r="H18" s="206"/>
      <c r="I18" s="206"/>
    </row>
    <row r="19" spans="2:9" x14ac:dyDescent="0.25">
      <c r="B19" s="37" t="s">
        <v>29</v>
      </c>
      <c r="C19" s="38">
        <v>1</v>
      </c>
      <c r="D19" s="37">
        <v>2</v>
      </c>
      <c r="E19" s="37">
        <v>3</v>
      </c>
      <c r="F19" s="37">
        <v>4</v>
      </c>
      <c r="G19" s="37">
        <v>5</v>
      </c>
      <c r="H19" s="39">
        <v>6</v>
      </c>
      <c r="I19" s="37" t="s">
        <v>30</v>
      </c>
    </row>
    <row r="20" spans="2:9" x14ac:dyDescent="0.25">
      <c r="B20" s="2" t="s">
        <v>41</v>
      </c>
      <c r="C20" s="52">
        <f t="shared" ref="C20:H20" si="2">C6+C7+C11</f>
        <v>0.2928</v>
      </c>
      <c r="D20" s="53">
        <f t="shared" si="2"/>
        <v>0.08</v>
      </c>
      <c r="E20" s="53">
        <f t="shared" si="2"/>
        <v>4.7700000000000006E-2</v>
      </c>
      <c r="F20" s="53">
        <f t="shared" si="2"/>
        <v>1.26E-2</v>
      </c>
      <c r="G20" s="53">
        <f t="shared" si="2"/>
        <v>3.7000000000000002E-3</v>
      </c>
      <c r="H20" s="54">
        <f t="shared" si="2"/>
        <v>1.2999999999999999E-3</v>
      </c>
      <c r="I20" s="55">
        <f>SUM(C20:H20)</f>
        <v>0.43810000000000004</v>
      </c>
    </row>
    <row r="21" spans="2:9" x14ac:dyDescent="0.25">
      <c r="B21" s="2" t="s">
        <v>39</v>
      </c>
      <c r="C21" s="52">
        <f t="shared" ref="C21:H21" si="3">C8+C9</f>
        <v>0.11699999999999999</v>
      </c>
      <c r="D21" s="53">
        <f t="shared" si="3"/>
        <v>5.1400000000000001E-2</v>
      </c>
      <c r="E21" s="53">
        <f t="shared" si="3"/>
        <v>4.5499999999999999E-2</v>
      </c>
      <c r="F21" s="53">
        <f t="shared" si="3"/>
        <v>1.04E-2</v>
      </c>
      <c r="G21" s="53">
        <f t="shared" si="3"/>
        <v>5.7999999999999996E-3</v>
      </c>
      <c r="H21" s="54">
        <f t="shared" si="3"/>
        <v>1.8E-3</v>
      </c>
      <c r="I21" s="55">
        <f t="shared" ref="I21:I23" si="4">SUM(C21:H21)</f>
        <v>0.23189999999999997</v>
      </c>
    </row>
    <row r="22" spans="2:9" x14ac:dyDescent="0.25">
      <c r="B22" s="2" t="s">
        <v>40</v>
      </c>
      <c r="C22" s="52">
        <f t="shared" ref="C22:H22" si="5">C10+C12</f>
        <v>0.14599999999999999</v>
      </c>
      <c r="D22" s="53">
        <f t="shared" si="5"/>
        <v>4.7E-2</v>
      </c>
      <c r="E22" s="53">
        <f t="shared" si="5"/>
        <v>2.47E-2</v>
      </c>
      <c r="F22" s="53">
        <f t="shared" si="5"/>
        <v>5.7000000000000002E-3</v>
      </c>
      <c r="G22" s="53">
        <f t="shared" si="5"/>
        <v>3.0999999999999999E-3</v>
      </c>
      <c r="H22" s="54">
        <f t="shared" si="5"/>
        <v>8.9999999999999998E-4</v>
      </c>
      <c r="I22" s="55">
        <f t="shared" si="4"/>
        <v>0.22740000000000002</v>
      </c>
    </row>
    <row r="23" spans="2:9" x14ac:dyDescent="0.25">
      <c r="B23" s="2" t="s">
        <v>42</v>
      </c>
      <c r="C23" s="52">
        <f t="shared" ref="C23:H23" si="6">C13</f>
        <v>3.1899999999999998E-2</v>
      </c>
      <c r="D23" s="53">
        <f t="shared" si="6"/>
        <v>3.2000000000000001E-2</v>
      </c>
      <c r="E23" s="53">
        <f t="shared" si="6"/>
        <v>2.5999999999999999E-2</v>
      </c>
      <c r="F23" s="53">
        <f t="shared" si="6"/>
        <v>8.6999999999999994E-3</v>
      </c>
      <c r="G23" s="53">
        <f t="shared" si="6"/>
        <v>3.3E-3</v>
      </c>
      <c r="H23" s="54">
        <f t="shared" si="6"/>
        <v>8.0000000000000004E-4</v>
      </c>
      <c r="I23" s="55">
        <f t="shared" si="4"/>
        <v>0.10269999999999999</v>
      </c>
    </row>
    <row r="24" spans="2:9" x14ac:dyDescent="0.25">
      <c r="B24" s="45" t="s">
        <v>30</v>
      </c>
      <c r="C24" s="56">
        <f t="shared" ref="C24:I24" si="7">SUM(C20:C23)</f>
        <v>0.5877</v>
      </c>
      <c r="D24" s="57">
        <f t="shared" si="7"/>
        <v>0.2104</v>
      </c>
      <c r="E24" s="57">
        <f t="shared" si="7"/>
        <v>0.1439</v>
      </c>
      <c r="F24" s="57">
        <f t="shared" si="7"/>
        <v>3.7400000000000003E-2</v>
      </c>
      <c r="G24" s="57">
        <f t="shared" si="7"/>
        <v>1.5900000000000001E-2</v>
      </c>
      <c r="H24" s="58">
        <f t="shared" si="7"/>
        <v>4.8000000000000004E-3</v>
      </c>
      <c r="I24" s="57">
        <f t="shared" si="7"/>
        <v>1.0001</v>
      </c>
    </row>
  </sheetData>
  <mergeCells count="6">
    <mergeCell ref="B2:I2"/>
    <mergeCell ref="B16:I16"/>
    <mergeCell ref="C4:I4"/>
    <mergeCell ref="C18:I18"/>
    <mergeCell ref="K2:R2"/>
    <mergeCell ref="L4:R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68E09-B632-4227-B625-6F699196F309}">
  <sheetPr>
    <tabColor rgb="FF00BED2"/>
  </sheetPr>
  <dimension ref="B2:AA32"/>
  <sheetViews>
    <sheetView workbookViewId="0">
      <selection activeCell="B10" sqref="B10"/>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217" t="s">
        <v>46</v>
      </c>
      <c r="C2" s="217"/>
      <c r="D2" s="217"/>
      <c r="E2" s="217"/>
      <c r="F2" s="217"/>
      <c r="G2" s="217"/>
      <c r="H2" s="217"/>
      <c r="I2" s="217"/>
      <c r="K2" s="218" t="s">
        <v>47</v>
      </c>
      <c r="L2" s="218"/>
      <c r="M2" s="218"/>
      <c r="N2" s="218"/>
      <c r="O2" s="218"/>
      <c r="P2" s="218"/>
      <c r="Q2" s="218"/>
      <c r="R2" s="218"/>
      <c r="T2" s="219" t="s">
        <v>53</v>
      </c>
      <c r="U2" s="219"/>
      <c r="V2" s="219"/>
      <c r="W2" s="219"/>
      <c r="X2" s="219"/>
      <c r="Y2" s="219"/>
      <c r="Z2" s="219"/>
      <c r="AA2" s="219"/>
    </row>
    <row r="3" spans="2:27" x14ac:dyDescent="0.25">
      <c r="T3" s="108"/>
      <c r="U3" s="108"/>
      <c r="V3" s="108"/>
      <c r="W3" s="108"/>
      <c r="X3" s="108"/>
      <c r="Y3" s="108"/>
      <c r="Z3" s="108"/>
      <c r="AA3" s="108"/>
    </row>
    <row r="4" spans="2:27" x14ac:dyDescent="0.25">
      <c r="C4" s="220" t="s">
        <v>56</v>
      </c>
      <c r="D4" s="221"/>
      <c r="E4" s="221"/>
      <c r="F4" s="221"/>
      <c r="G4" s="221"/>
      <c r="H4" s="221"/>
      <c r="I4" s="221"/>
      <c r="L4" s="222" t="s">
        <v>56</v>
      </c>
      <c r="M4" s="223"/>
      <c r="N4" s="223"/>
      <c r="O4" s="223"/>
      <c r="P4" s="223"/>
      <c r="Q4" s="223"/>
      <c r="R4" s="223"/>
      <c r="T4" s="108"/>
      <c r="U4" s="224" t="s">
        <v>0</v>
      </c>
      <c r="V4" s="225"/>
      <c r="W4" s="225"/>
      <c r="X4" s="225"/>
      <c r="Y4" s="225"/>
      <c r="Z4" s="225"/>
      <c r="AA4" s="225"/>
    </row>
    <row r="5" spans="2:27"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c r="T5" s="113" t="s">
        <v>29</v>
      </c>
      <c r="U5" s="114" t="s">
        <v>45</v>
      </c>
      <c r="V5" s="115" t="s">
        <v>21</v>
      </c>
      <c r="W5" s="115" t="s">
        <v>22</v>
      </c>
      <c r="X5" s="115" t="s">
        <v>23</v>
      </c>
      <c r="Y5" s="115" t="s">
        <v>24</v>
      </c>
      <c r="Z5" s="115" t="s">
        <v>25</v>
      </c>
      <c r="AA5" s="116" t="s">
        <v>30</v>
      </c>
    </row>
    <row r="6" spans="2:27" x14ac:dyDescent="0.25">
      <c r="B6" s="106" t="s">
        <v>41</v>
      </c>
      <c r="C6" s="88">
        <f>U6</f>
        <v>0.49821337417049516</v>
      </c>
      <c r="D6" s="60">
        <f t="shared" ref="D6:I9" si="0">V6</f>
        <v>0.38022813688212925</v>
      </c>
      <c r="E6" s="60">
        <f t="shared" si="0"/>
        <v>0.33148019457956918</v>
      </c>
      <c r="F6" s="60">
        <f t="shared" si="0"/>
        <v>0.33689839572192509</v>
      </c>
      <c r="G6" s="60">
        <f t="shared" si="0"/>
        <v>0.23270440251572327</v>
      </c>
      <c r="H6" s="60">
        <f t="shared" si="0"/>
        <v>0.27083333333333331</v>
      </c>
      <c r="I6" s="88">
        <f t="shared" si="0"/>
        <v>0.43805619438056198</v>
      </c>
      <c r="K6" s="106" t="s">
        <v>41</v>
      </c>
      <c r="L6" s="90">
        <f>U6</f>
        <v>0.49821337417049516</v>
      </c>
      <c r="M6" s="80">
        <f t="shared" ref="M6:R9" si="1">V6</f>
        <v>0.38022813688212925</v>
      </c>
      <c r="N6" s="80">
        <f t="shared" si="1"/>
        <v>0.33148019457956918</v>
      </c>
      <c r="O6" s="80">
        <f t="shared" si="1"/>
        <v>0.33689839572192509</v>
      </c>
      <c r="P6" s="80">
        <f t="shared" si="1"/>
        <v>0.23270440251572327</v>
      </c>
      <c r="Q6" s="80">
        <f t="shared" si="1"/>
        <v>0.27083333333333331</v>
      </c>
      <c r="R6" s="90">
        <f t="shared" si="1"/>
        <v>0.43805619438056198</v>
      </c>
      <c r="T6" s="112" t="s">
        <v>41</v>
      </c>
      <c r="U6" s="110">
        <f>'CALC | TASK STD'!L6</f>
        <v>0.49821337417049516</v>
      </c>
      <c r="V6" s="109">
        <f>'CALC | TASK STD'!M6</f>
        <v>0.38022813688212925</v>
      </c>
      <c r="W6" s="109">
        <f>'CALC | TASK STD'!N6</f>
        <v>0.33148019457956918</v>
      </c>
      <c r="X6" s="109">
        <f>'CALC | TASK STD'!O6</f>
        <v>0.33689839572192509</v>
      </c>
      <c r="Y6" s="109">
        <f>'CALC | TASK STD'!P6</f>
        <v>0.23270440251572327</v>
      </c>
      <c r="Z6" s="109">
        <f>'CALC | TASK STD'!Q6</f>
        <v>0.27083333333333331</v>
      </c>
      <c r="AA6" s="111">
        <f>'CALC | TASK STD'!R6</f>
        <v>0.43805619438056198</v>
      </c>
    </row>
    <row r="7" spans="2:27" x14ac:dyDescent="0.25">
      <c r="B7" s="2" t="s">
        <v>39</v>
      </c>
      <c r="C7" s="88">
        <f t="shared" ref="C7:C9" si="2">U7</f>
        <v>0.19908116385911179</v>
      </c>
      <c r="D7" s="60">
        <f t="shared" si="0"/>
        <v>0.24429657794676807</v>
      </c>
      <c r="E7" s="60">
        <f t="shared" si="0"/>
        <v>0.31619179986101459</v>
      </c>
      <c r="F7" s="60">
        <f t="shared" si="0"/>
        <v>0.27807486631016037</v>
      </c>
      <c r="G7" s="60">
        <f t="shared" si="0"/>
        <v>0.36477987421383645</v>
      </c>
      <c r="H7" s="60">
        <f t="shared" si="0"/>
        <v>0.37499999999999994</v>
      </c>
      <c r="I7" s="88">
        <f t="shared" si="0"/>
        <v>0.23187681231876808</v>
      </c>
      <c r="K7" s="2" t="s">
        <v>39</v>
      </c>
      <c r="L7" s="90">
        <f t="shared" ref="L7:L9" si="3">U7</f>
        <v>0.19908116385911179</v>
      </c>
      <c r="M7" s="80">
        <f t="shared" si="1"/>
        <v>0.24429657794676807</v>
      </c>
      <c r="N7" s="80">
        <f t="shared" si="1"/>
        <v>0.31619179986101459</v>
      </c>
      <c r="O7" s="80">
        <f t="shared" si="1"/>
        <v>0.27807486631016037</v>
      </c>
      <c r="P7" s="80">
        <f t="shared" si="1"/>
        <v>0.36477987421383645</v>
      </c>
      <c r="Q7" s="80">
        <f t="shared" si="1"/>
        <v>0.37499999999999994</v>
      </c>
      <c r="R7" s="90">
        <f t="shared" si="1"/>
        <v>0.23187681231876808</v>
      </c>
      <c r="T7" s="108" t="s">
        <v>39</v>
      </c>
      <c r="U7" s="110">
        <f>'CALC | TASK STD'!L7</f>
        <v>0.19908116385911179</v>
      </c>
      <c r="V7" s="109">
        <f>'CALC | TASK STD'!M7</f>
        <v>0.24429657794676807</v>
      </c>
      <c r="W7" s="109">
        <f>'CALC | TASK STD'!N7</f>
        <v>0.31619179986101459</v>
      </c>
      <c r="X7" s="109">
        <f>'CALC | TASK STD'!O7</f>
        <v>0.27807486631016037</v>
      </c>
      <c r="Y7" s="109">
        <f>'CALC | TASK STD'!P7</f>
        <v>0.36477987421383645</v>
      </c>
      <c r="Z7" s="109">
        <f>'CALC | TASK STD'!Q7</f>
        <v>0.37499999999999994</v>
      </c>
      <c r="AA7" s="111">
        <f>'CALC | TASK STD'!R7</f>
        <v>0.23187681231876808</v>
      </c>
    </row>
    <row r="8" spans="2:27" x14ac:dyDescent="0.25">
      <c r="B8" s="2" t="s">
        <v>40</v>
      </c>
      <c r="C8" s="88">
        <f t="shared" si="2"/>
        <v>0.24842606772162668</v>
      </c>
      <c r="D8" s="60">
        <f t="shared" si="0"/>
        <v>0.22338403041825095</v>
      </c>
      <c r="E8" s="60">
        <f t="shared" si="0"/>
        <v>0.17164697706740792</v>
      </c>
      <c r="F8" s="60">
        <f t="shared" si="0"/>
        <v>0.15240641711229946</v>
      </c>
      <c r="G8" s="60">
        <f t="shared" si="0"/>
        <v>0.19496855345911948</v>
      </c>
      <c r="H8" s="60">
        <f t="shared" si="0"/>
        <v>0.18749999999999997</v>
      </c>
      <c r="I8" s="88">
        <f t="shared" si="0"/>
        <v>0.22737726227377264</v>
      </c>
      <c r="K8" s="2" t="s">
        <v>40</v>
      </c>
      <c r="L8" s="90">
        <f t="shared" si="3"/>
        <v>0.24842606772162668</v>
      </c>
      <c r="M8" s="80">
        <f t="shared" si="1"/>
        <v>0.22338403041825095</v>
      </c>
      <c r="N8" s="80">
        <f t="shared" si="1"/>
        <v>0.17164697706740792</v>
      </c>
      <c r="O8" s="80">
        <f t="shared" si="1"/>
        <v>0.15240641711229946</v>
      </c>
      <c r="P8" s="80">
        <f t="shared" si="1"/>
        <v>0.19496855345911948</v>
      </c>
      <c r="Q8" s="80">
        <f t="shared" si="1"/>
        <v>0.18749999999999997</v>
      </c>
      <c r="R8" s="90">
        <f t="shared" si="1"/>
        <v>0.22737726227377264</v>
      </c>
      <c r="T8" s="108" t="s">
        <v>40</v>
      </c>
      <c r="U8" s="110">
        <f>'CALC | TASK STD'!L8</f>
        <v>0.24842606772162668</v>
      </c>
      <c r="V8" s="109">
        <f>'CALC | TASK STD'!M8</f>
        <v>0.22338403041825095</v>
      </c>
      <c r="W8" s="109">
        <f>'CALC | TASK STD'!N8</f>
        <v>0.17164697706740792</v>
      </c>
      <c r="X8" s="109">
        <f>'CALC | TASK STD'!O8</f>
        <v>0.15240641711229946</v>
      </c>
      <c r="Y8" s="109">
        <f>'CALC | TASK STD'!P8</f>
        <v>0.19496855345911948</v>
      </c>
      <c r="Z8" s="109">
        <f>'CALC | TASK STD'!Q8</f>
        <v>0.18749999999999997</v>
      </c>
      <c r="AA8" s="111">
        <f>'CALC | TASK STD'!R8</f>
        <v>0.22737726227377264</v>
      </c>
    </row>
    <row r="9" spans="2:27" x14ac:dyDescent="0.25">
      <c r="B9" s="2" t="s">
        <v>42</v>
      </c>
      <c r="C9" s="88">
        <f t="shared" si="2"/>
        <v>5.427939424876637E-2</v>
      </c>
      <c r="D9" s="60">
        <f t="shared" si="0"/>
        <v>0.15209125475285171</v>
      </c>
      <c r="E9" s="60">
        <f t="shared" si="0"/>
        <v>0.18068102849200834</v>
      </c>
      <c r="F9" s="60">
        <f t="shared" si="0"/>
        <v>0.23262032085561493</v>
      </c>
      <c r="G9" s="60">
        <f t="shared" si="0"/>
        <v>0.20754716981132074</v>
      </c>
      <c r="H9" s="60">
        <f t="shared" si="0"/>
        <v>0.16666666666666666</v>
      </c>
      <c r="I9" s="88">
        <f t="shared" si="0"/>
        <v>0.1026897310268973</v>
      </c>
      <c r="K9" s="2" t="s">
        <v>42</v>
      </c>
      <c r="L9" s="90">
        <f t="shared" si="3"/>
        <v>5.427939424876637E-2</v>
      </c>
      <c r="M9" s="80">
        <f t="shared" si="1"/>
        <v>0.15209125475285171</v>
      </c>
      <c r="N9" s="80">
        <f t="shared" si="1"/>
        <v>0.18068102849200834</v>
      </c>
      <c r="O9" s="80">
        <f t="shared" si="1"/>
        <v>0.23262032085561493</v>
      </c>
      <c r="P9" s="80">
        <f t="shared" si="1"/>
        <v>0.20754716981132074</v>
      </c>
      <c r="Q9" s="80">
        <f t="shared" si="1"/>
        <v>0.16666666666666666</v>
      </c>
      <c r="R9" s="90">
        <f t="shared" si="1"/>
        <v>0.1026897310268973</v>
      </c>
      <c r="T9" s="108" t="s">
        <v>42</v>
      </c>
      <c r="U9" s="110">
        <f>'CALC | TASK STD'!L9</f>
        <v>5.427939424876637E-2</v>
      </c>
      <c r="V9" s="109">
        <f>'CALC | TASK STD'!M9</f>
        <v>0.15209125475285171</v>
      </c>
      <c r="W9" s="109">
        <f>'CALC | TASK STD'!N9</f>
        <v>0.18068102849200834</v>
      </c>
      <c r="X9" s="109">
        <f>'CALC | TASK STD'!O9</f>
        <v>0.23262032085561493</v>
      </c>
      <c r="Y9" s="109">
        <f>'CALC | TASK STD'!P9</f>
        <v>0.20754716981132074</v>
      </c>
      <c r="Z9" s="109">
        <f>'CALC | TASK STD'!Q9</f>
        <v>0.16666666666666666</v>
      </c>
      <c r="AA9" s="111">
        <f>'CALC | TASK STD'!R9</f>
        <v>0.1026897310268973</v>
      </c>
    </row>
    <row r="10" spans="2:27" x14ac:dyDescent="0.25">
      <c r="B10" s="94" t="s">
        <v>30</v>
      </c>
      <c r="C10" s="95">
        <f t="shared" ref="C10:I10" si="4">SUM(C6:C9)</f>
        <v>1</v>
      </c>
      <c r="D10" s="96">
        <f t="shared" si="4"/>
        <v>0.99999999999999989</v>
      </c>
      <c r="E10" s="96">
        <f t="shared" si="4"/>
        <v>1</v>
      </c>
      <c r="F10" s="96">
        <f t="shared" si="4"/>
        <v>0.99999999999999989</v>
      </c>
      <c r="G10" s="96">
        <f t="shared" si="4"/>
        <v>0.99999999999999989</v>
      </c>
      <c r="H10" s="96">
        <f t="shared" si="4"/>
        <v>0.99999999999999989</v>
      </c>
      <c r="I10" s="95">
        <f t="shared" si="4"/>
        <v>1</v>
      </c>
      <c r="K10" s="94" t="s">
        <v>30</v>
      </c>
      <c r="L10" s="95">
        <f t="shared" ref="L10:R10" si="5">SUM(L6:L9)</f>
        <v>1</v>
      </c>
      <c r="M10" s="96">
        <f t="shared" si="5"/>
        <v>0.99999999999999989</v>
      </c>
      <c r="N10" s="96">
        <f t="shared" si="5"/>
        <v>1</v>
      </c>
      <c r="O10" s="96">
        <f t="shared" si="5"/>
        <v>0.99999999999999989</v>
      </c>
      <c r="P10" s="96">
        <f t="shared" si="5"/>
        <v>0.99999999999999989</v>
      </c>
      <c r="Q10" s="96">
        <f t="shared" si="5"/>
        <v>0.99999999999999989</v>
      </c>
      <c r="R10" s="95">
        <f t="shared" si="5"/>
        <v>1</v>
      </c>
      <c r="T10" s="117" t="s">
        <v>30</v>
      </c>
      <c r="U10" s="118">
        <f t="shared" ref="U10:AA10" si="6">SUM(U6:U9)</f>
        <v>1</v>
      </c>
      <c r="V10" s="119">
        <f t="shared" si="6"/>
        <v>0.99999999999999989</v>
      </c>
      <c r="W10" s="119">
        <f t="shared" si="6"/>
        <v>1</v>
      </c>
      <c r="X10" s="119">
        <f t="shared" si="6"/>
        <v>0.99999999999999989</v>
      </c>
      <c r="Y10" s="119">
        <f t="shared" si="6"/>
        <v>0.99999999999999989</v>
      </c>
      <c r="Z10" s="119">
        <f t="shared" si="6"/>
        <v>0.99999999999999989</v>
      </c>
      <c r="AA10" s="118">
        <f t="shared" si="6"/>
        <v>1</v>
      </c>
    </row>
    <row r="12" spans="2:27" x14ac:dyDescent="0.25">
      <c r="B12" s="204" t="s">
        <v>48</v>
      </c>
      <c r="C12" s="204"/>
      <c r="D12" s="204"/>
      <c r="E12" s="204"/>
      <c r="F12" s="204"/>
      <c r="G12" s="204"/>
      <c r="H12" s="204"/>
      <c r="I12" s="204"/>
      <c r="K12" s="212" t="s">
        <v>49</v>
      </c>
      <c r="L12" s="212"/>
      <c r="M12" s="212"/>
      <c r="N12" s="212"/>
      <c r="O12" s="212"/>
      <c r="P12" s="212"/>
      <c r="Q12" s="212"/>
      <c r="R12" s="212"/>
      <c r="AA12" s="1"/>
    </row>
    <row r="14" spans="2:27" x14ac:dyDescent="0.25">
      <c r="C14" s="213" t="s">
        <v>56</v>
      </c>
      <c r="D14" s="214"/>
      <c r="E14" s="214"/>
      <c r="F14" s="214"/>
      <c r="G14" s="214"/>
      <c r="H14" s="214"/>
      <c r="I14" s="214"/>
      <c r="L14" s="215" t="s">
        <v>56</v>
      </c>
      <c r="M14" s="216"/>
      <c r="N14" s="216"/>
      <c r="O14" s="216"/>
      <c r="P14" s="216"/>
      <c r="Q14" s="216"/>
      <c r="R14" s="216"/>
    </row>
    <row r="15" spans="2:27"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27" x14ac:dyDescent="0.25">
      <c r="B16" s="106" t="s">
        <v>41</v>
      </c>
      <c r="C16" s="88">
        <f t="shared" ref="C16:I19" si="7">U6</f>
        <v>0.49821337417049516</v>
      </c>
      <c r="D16" s="60">
        <f t="shared" si="7"/>
        <v>0.38022813688212925</v>
      </c>
      <c r="E16" s="60">
        <f t="shared" si="7"/>
        <v>0.33148019457956918</v>
      </c>
      <c r="F16" s="60">
        <f t="shared" si="7"/>
        <v>0.33689839572192509</v>
      </c>
      <c r="G16" s="60">
        <f t="shared" si="7"/>
        <v>0.23270440251572327</v>
      </c>
      <c r="H16" s="60">
        <f t="shared" si="7"/>
        <v>0.27083333333333331</v>
      </c>
      <c r="I16" s="88">
        <f t="shared" si="7"/>
        <v>0.43805619438056198</v>
      </c>
      <c r="K16" s="106" t="s">
        <v>41</v>
      </c>
      <c r="L16" s="88">
        <f t="shared" ref="L16:R19" si="8">U6</f>
        <v>0.49821337417049516</v>
      </c>
      <c r="M16" s="60">
        <f t="shared" si="8"/>
        <v>0.38022813688212925</v>
      </c>
      <c r="N16" s="60">
        <f t="shared" si="8"/>
        <v>0.33148019457956918</v>
      </c>
      <c r="O16" s="60">
        <f t="shared" si="8"/>
        <v>0.33689839572192509</v>
      </c>
      <c r="P16" s="60">
        <f t="shared" si="8"/>
        <v>0.23270440251572327</v>
      </c>
      <c r="Q16" s="60">
        <f t="shared" si="8"/>
        <v>0.27083333333333331</v>
      </c>
      <c r="R16" s="88">
        <f t="shared" si="8"/>
        <v>0.43805619438056198</v>
      </c>
    </row>
    <row r="17" spans="2:18" x14ac:dyDescent="0.25">
      <c r="B17" s="2" t="s">
        <v>39</v>
      </c>
      <c r="C17" s="88">
        <f t="shared" si="7"/>
        <v>0.19908116385911179</v>
      </c>
      <c r="D17" s="60">
        <f t="shared" si="7"/>
        <v>0.24429657794676807</v>
      </c>
      <c r="E17" s="60">
        <f t="shared" si="7"/>
        <v>0.31619179986101459</v>
      </c>
      <c r="F17" s="60">
        <f t="shared" si="7"/>
        <v>0.27807486631016037</v>
      </c>
      <c r="G17" s="60">
        <f t="shared" si="7"/>
        <v>0.36477987421383645</v>
      </c>
      <c r="H17" s="60">
        <f t="shared" si="7"/>
        <v>0.37499999999999994</v>
      </c>
      <c r="I17" s="88">
        <f t="shared" si="7"/>
        <v>0.23187681231876808</v>
      </c>
      <c r="K17" s="2" t="s">
        <v>39</v>
      </c>
      <c r="L17" s="88">
        <f t="shared" si="8"/>
        <v>0.19908116385911179</v>
      </c>
      <c r="M17" s="60">
        <f t="shared" si="8"/>
        <v>0.24429657794676807</v>
      </c>
      <c r="N17" s="60">
        <f t="shared" si="8"/>
        <v>0.31619179986101459</v>
      </c>
      <c r="O17" s="60">
        <f t="shared" si="8"/>
        <v>0.27807486631016037</v>
      </c>
      <c r="P17" s="60">
        <f t="shared" si="8"/>
        <v>0.36477987421383645</v>
      </c>
      <c r="Q17" s="60">
        <f t="shared" si="8"/>
        <v>0.37499999999999994</v>
      </c>
      <c r="R17" s="88">
        <f t="shared" si="8"/>
        <v>0.23187681231876808</v>
      </c>
    </row>
    <row r="18" spans="2:18" x14ac:dyDescent="0.25">
      <c r="B18" s="2" t="s">
        <v>40</v>
      </c>
      <c r="C18" s="88">
        <f t="shared" si="7"/>
        <v>0.24842606772162668</v>
      </c>
      <c r="D18" s="60">
        <f t="shared" si="7"/>
        <v>0.22338403041825095</v>
      </c>
      <c r="E18" s="60">
        <f t="shared" si="7"/>
        <v>0.17164697706740792</v>
      </c>
      <c r="F18" s="60">
        <f t="shared" si="7"/>
        <v>0.15240641711229946</v>
      </c>
      <c r="G18" s="60">
        <f t="shared" si="7"/>
        <v>0.19496855345911948</v>
      </c>
      <c r="H18" s="60">
        <f t="shared" si="7"/>
        <v>0.18749999999999997</v>
      </c>
      <c r="I18" s="88">
        <f t="shared" si="7"/>
        <v>0.22737726227377264</v>
      </c>
      <c r="K18" s="2" t="s">
        <v>40</v>
      </c>
      <c r="L18" s="88">
        <f t="shared" si="8"/>
        <v>0.24842606772162668</v>
      </c>
      <c r="M18" s="60">
        <f t="shared" si="8"/>
        <v>0.22338403041825095</v>
      </c>
      <c r="N18" s="60">
        <f t="shared" si="8"/>
        <v>0.17164697706740792</v>
      </c>
      <c r="O18" s="60">
        <f t="shared" si="8"/>
        <v>0.15240641711229946</v>
      </c>
      <c r="P18" s="60">
        <f t="shared" si="8"/>
        <v>0.19496855345911948</v>
      </c>
      <c r="Q18" s="60">
        <f t="shared" si="8"/>
        <v>0.18749999999999997</v>
      </c>
      <c r="R18" s="88">
        <f t="shared" si="8"/>
        <v>0.22737726227377264</v>
      </c>
    </row>
    <row r="19" spans="2:18" x14ac:dyDescent="0.25">
      <c r="B19" s="2" t="s">
        <v>42</v>
      </c>
      <c r="C19" s="88">
        <f t="shared" si="7"/>
        <v>5.427939424876637E-2</v>
      </c>
      <c r="D19" s="60">
        <f t="shared" si="7"/>
        <v>0.15209125475285171</v>
      </c>
      <c r="E19" s="60">
        <f t="shared" si="7"/>
        <v>0.18068102849200834</v>
      </c>
      <c r="F19" s="60">
        <f t="shared" si="7"/>
        <v>0.23262032085561493</v>
      </c>
      <c r="G19" s="60">
        <f t="shared" si="7"/>
        <v>0.20754716981132074</v>
      </c>
      <c r="H19" s="60">
        <f t="shared" si="7"/>
        <v>0.16666666666666666</v>
      </c>
      <c r="I19" s="88">
        <f t="shared" si="7"/>
        <v>0.1026897310268973</v>
      </c>
      <c r="K19" s="2" t="s">
        <v>42</v>
      </c>
      <c r="L19" s="88">
        <f t="shared" si="8"/>
        <v>5.427939424876637E-2</v>
      </c>
      <c r="M19" s="60">
        <f t="shared" si="8"/>
        <v>0.15209125475285171</v>
      </c>
      <c r="N19" s="60">
        <f t="shared" si="8"/>
        <v>0.18068102849200834</v>
      </c>
      <c r="O19" s="60">
        <f t="shared" si="8"/>
        <v>0.23262032085561493</v>
      </c>
      <c r="P19" s="60">
        <f t="shared" si="8"/>
        <v>0.20754716981132074</v>
      </c>
      <c r="Q19" s="60">
        <f t="shared" si="8"/>
        <v>0.16666666666666666</v>
      </c>
      <c r="R19" s="88">
        <f t="shared" si="8"/>
        <v>0.1026897310268973</v>
      </c>
    </row>
    <row r="20" spans="2:18" x14ac:dyDescent="0.25">
      <c r="B20" s="94" t="s">
        <v>30</v>
      </c>
      <c r="C20" s="95">
        <f t="shared" ref="C20:I20" si="9">SUM(C16:C19)</f>
        <v>1</v>
      </c>
      <c r="D20" s="96">
        <f t="shared" si="9"/>
        <v>0.99999999999999989</v>
      </c>
      <c r="E20" s="96">
        <f t="shared" si="9"/>
        <v>1</v>
      </c>
      <c r="F20" s="96">
        <f t="shared" si="9"/>
        <v>0.99999999999999989</v>
      </c>
      <c r="G20" s="96">
        <f t="shared" si="9"/>
        <v>0.99999999999999989</v>
      </c>
      <c r="H20" s="96">
        <f t="shared" si="9"/>
        <v>0.99999999999999989</v>
      </c>
      <c r="I20" s="95">
        <f t="shared" si="9"/>
        <v>1</v>
      </c>
      <c r="K20" s="94" t="s">
        <v>30</v>
      </c>
      <c r="L20" s="95">
        <f t="shared" ref="L20:R20" si="10">SUM(L16:L19)</f>
        <v>1</v>
      </c>
      <c r="M20" s="96">
        <f t="shared" si="10"/>
        <v>0.99999999999999989</v>
      </c>
      <c r="N20" s="96">
        <f t="shared" si="10"/>
        <v>1</v>
      </c>
      <c r="O20" s="96">
        <f t="shared" si="10"/>
        <v>0.99999999999999989</v>
      </c>
      <c r="P20" s="96">
        <f t="shared" si="10"/>
        <v>0.99999999999999989</v>
      </c>
      <c r="Q20" s="96">
        <f t="shared" si="10"/>
        <v>0.99999999999999989</v>
      </c>
      <c r="R20" s="95">
        <f t="shared" si="10"/>
        <v>1</v>
      </c>
    </row>
    <row r="21" spans="2:18" x14ac:dyDescent="0.25">
      <c r="B21" s="66"/>
      <c r="C21" s="107"/>
      <c r="D21" s="107"/>
      <c r="E21" s="107"/>
      <c r="F21" s="107"/>
      <c r="G21" s="107"/>
      <c r="H21" s="107"/>
      <c r="I21" s="107"/>
      <c r="K21" s="66"/>
      <c r="L21" s="107"/>
      <c r="M21" s="107"/>
      <c r="N21" s="107"/>
      <c r="O21" s="107"/>
      <c r="P21" s="107"/>
      <c r="Q21" s="107"/>
      <c r="R21" s="107"/>
    </row>
    <row r="22" spans="2:18" x14ac:dyDescent="0.25">
      <c r="B22" s="66"/>
      <c r="C22" s="107"/>
      <c r="D22" s="107"/>
      <c r="E22" s="107"/>
      <c r="F22" s="107"/>
      <c r="G22" s="107"/>
      <c r="H22" s="107"/>
      <c r="I22" s="107"/>
      <c r="K22" s="66"/>
      <c r="L22" s="107"/>
      <c r="M22" s="107"/>
      <c r="N22" s="107"/>
      <c r="O22" s="107"/>
      <c r="P22" s="107"/>
      <c r="Q22" s="107"/>
      <c r="R22" s="107"/>
    </row>
    <row r="24" spans="2:18" x14ac:dyDescent="0.25">
      <c r="B24" s="210" t="s">
        <v>54</v>
      </c>
      <c r="C24" s="210"/>
      <c r="D24" s="210"/>
      <c r="E24" s="210"/>
      <c r="F24" s="210"/>
      <c r="G24" s="210"/>
      <c r="H24" s="210"/>
      <c r="K24" s="210" t="s">
        <v>55</v>
      </c>
      <c r="L24" s="210"/>
      <c r="M24" s="210"/>
      <c r="N24" s="210"/>
      <c r="O24" s="210"/>
      <c r="P24" s="210"/>
      <c r="Q24" s="210"/>
    </row>
    <row r="26" spans="2:18" x14ac:dyDescent="0.25">
      <c r="C26" s="211" t="s">
        <v>56</v>
      </c>
      <c r="D26" s="210"/>
      <c r="E26" s="210"/>
      <c r="F26" s="210"/>
      <c r="G26" s="210"/>
      <c r="H26" s="210"/>
      <c r="L26" s="211" t="s">
        <v>56</v>
      </c>
      <c r="M26" s="210"/>
      <c r="N26" s="210"/>
      <c r="O26" s="210"/>
      <c r="P26" s="210"/>
      <c r="Q26" s="210"/>
    </row>
    <row r="27" spans="2:18" x14ac:dyDescent="0.25">
      <c r="B27" s="84" t="s">
        <v>50</v>
      </c>
      <c r="C27" s="81" t="s">
        <v>45</v>
      </c>
      <c r="D27" s="82" t="s">
        <v>21</v>
      </c>
      <c r="E27" s="82" t="s">
        <v>22</v>
      </c>
      <c r="F27" s="82" t="s">
        <v>23</v>
      </c>
      <c r="G27" s="82" t="s">
        <v>24</v>
      </c>
      <c r="H27" s="83" t="s">
        <v>25</v>
      </c>
      <c r="K27" s="84" t="s">
        <v>50</v>
      </c>
      <c r="L27" s="81" t="s">
        <v>45</v>
      </c>
      <c r="M27" s="82" t="s">
        <v>21</v>
      </c>
      <c r="N27" s="82" t="s">
        <v>22</v>
      </c>
      <c r="O27" s="82" t="s">
        <v>23</v>
      </c>
      <c r="P27" s="82" t="s">
        <v>24</v>
      </c>
      <c r="Q27" s="83" t="s">
        <v>25</v>
      </c>
    </row>
    <row r="28" spans="2:18" x14ac:dyDescent="0.25">
      <c r="B28" s="13" t="s">
        <v>16</v>
      </c>
      <c r="C28" s="67">
        <v>0.25</v>
      </c>
      <c r="D28" s="68">
        <v>0.25</v>
      </c>
      <c r="E28" s="68">
        <v>0.25</v>
      </c>
      <c r="F28" s="68">
        <v>0.25</v>
      </c>
      <c r="G28" s="68">
        <v>0.25</v>
      </c>
      <c r="H28" s="68">
        <v>0.25</v>
      </c>
      <c r="K28" s="2" t="s">
        <v>51</v>
      </c>
      <c r="L28" s="74">
        <v>44</v>
      </c>
      <c r="M28" s="75">
        <v>44</v>
      </c>
      <c r="N28" s="75">
        <v>44</v>
      </c>
      <c r="O28" s="75">
        <v>44</v>
      </c>
      <c r="P28" s="75">
        <v>44</v>
      </c>
      <c r="Q28" s="75">
        <v>44</v>
      </c>
    </row>
    <row r="29" spans="2:18" x14ac:dyDescent="0.25">
      <c r="B29" s="18" t="s">
        <v>17</v>
      </c>
      <c r="C29" s="59">
        <v>0.25</v>
      </c>
      <c r="D29" s="60">
        <v>0.25</v>
      </c>
      <c r="E29" s="60">
        <v>0.25</v>
      </c>
      <c r="F29" s="60">
        <v>0.25</v>
      </c>
      <c r="G29" s="60">
        <v>0.25</v>
      </c>
      <c r="H29" s="60">
        <v>0.25</v>
      </c>
      <c r="K29" s="2" t="s">
        <v>52</v>
      </c>
      <c r="L29" s="76">
        <v>37.5</v>
      </c>
      <c r="M29" s="77">
        <v>37.5</v>
      </c>
      <c r="N29" s="77">
        <v>37.5</v>
      </c>
      <c r="O29" s="77">
        <v>37.5</v>
      </c>
      <c r="P29" s="77">
        <v>37.5</v>
      </c>
      <c r="Q29" s="77">
        <v>37.5</v>
      </c>
    </row>
    <row r="30" spans="2:18" x14ac:dyDescent="0.25">
      <c r="B30" s="19" t="s">
        <v>18</v>
      </c>
      <c r="C30" s="59">
        <v>0.25</v>
      </c>
      <c r="D30" s="60">
        <v>0.25</v>
      </c>
      <c r="E30" s="60">
        <v>0.25</v>
      </c>
      <c r="F30" s="60">
        <v>0.25</v>
      </c>
      <c r="G30" s="60">
        <v>0.25</v>
      </c>
      <c r="H30" s="60">
        <v>0.25</v>
      </c>
      <c r="K30" s="71" t="s">
        <v>30</v>
      </c>
      <c r="L30" s="78">
        <f t="shared" ref="L30:Q30" si="11">44*37.5</f>
        <v>1650</v>
      </c>
      <c r="M30" s="79">
        <f t="shared" si="11"/>
        <v>1650</v>
      </c>
      <c r="N30" s="79">
        <f t="shared" si="11"/>
        <v>1650</v>
      </c>
      <c r="O30" s="79">
        <f t="shared" si="11"/>
        <v>1650</v>
      </c>
      <c r="P30" s="79">
        <f t="shared" si="11"/>
        <v>1650</v>
      </c>
      <c r="Q30" s="79">
        <f t="shared" si="11"/>
        <v>1650</v>
      </c>
    </row>
    <row r="31" spans="2:18" x14ac:dyDescent="0.25">
      <c r="B31" s="20" t="s">
        <v>19</v>
      </c>
      <c r="C31" s="69">
        <v>0.25</v>
      </c>
      <c r="D31" s="70">
        <v>0.25</v>
      </c>
      <c r="E31" s="70">
        <v>0.25</v>
      </c>
      <c r="F31" s="70">
        <v>0.25</v>
      </c>
      <c r="G31" s="70">
        <v>0.25</v>
      </c>
      <c r="H31" s="70">
        <v>0.25</v>
      </c>
    </row>
    <row r="32" spans="2:18" x14ac:dyDescent="0.25">
      <c r="B32" s="71" t="s">
        <v>30</v>
      </c>
      <c r="C32" s="72">
        <f t="shared" ref="C32:H32" si="12">SUM(C28:C31)</f>
        <v>1</v>
      </c>
      <c r="D32" s="73">
        <f t="shared" si="12"/>
        <v>1</v>
      </c>
      <c r="E32" s="73">
        <f t="shared" si="12"/>
        <v>1</v>
      </c>
      <c r="F32" s="73">
        <f t="shared" si="12"/>
        <v>1</v>
      </c>
      <c r="G32" s="73">
        <f t="shared" si="12"/>
        <v>1</v>
      </c>
      <c r="H32" s="73">
        <f t="shared" si="12"/>
        <v>1</v>
      </c>
    </row>
  </sheetData>
  <mergeCells count="14">
    <mergeCell ref="B2:I2"/>
    <mergeCell ref="K2:R2"/>
    <mergeCell ref="T2:AA2"/>
    <mergeCell ref="C4:I4"/>
    <mergeCell ref="L4:R4"/>
    <mergeCell ref="U4:AA4"/>
    <mergeCell ref="B24:H24"/>
    <mergeCell ref="K24:Q24"/>
    <mergeCell ref="C26:H26"/>
    <mergeCell ref="L26:Q26"/>
    <mergeCell ref="B12:I12"/>
    <mergeCell ref="K12:R12"/>
    <mergeCell ref="C14:I14"/>
    <mergeCell ref="L14:R14"/>
  </mergeCells>
  <conditionalFormatting sqref="C10">
    <cfRule type="cellIs" dxfId="9" priority="11" operator="notEqual">
      <formula>1</formula>
    </cfRule>
  </conditionalFormatting>
  <conditionalFormatting sqref="C20">
    <cfRule type="cellIs" dxfId="8" priority="7" operator="notEqual">
      <formula>1</formula>
    </cfRule>
  </conditionalFormatting>
  <conditionalFormatting sqref="C28:H31">
    <cfRule type="colorScale" priority="1">
      <colorScale>
        <cfvo type="num" val="0"/>
        <cfvo type="num" val="0.5"/>
        <color theme="0"/>
        <color theme="0" tint="-0.249977111117893"/>
      </colorScale>
    </cfRule>
  </conditionalFormatting>
  <conditionalFormatting sqref="C32:H32">
    <cfRule type="cellIs" dxfId="7" priority="2" operator="notEqual">
      <formula>1</formula>
    </cfRule>
  </conditionalFormatting>
  <conditionalFormatting sqref="C6:I9">
    <cfRule type="colorScale" priority="10">
      <colorScale>
        <cfvo type="num" val="0"/>
        <cfvo type="num" val="0.5"/>
        <color theme="0"/>
        <color theme="0" tint="-0.249977111117893"/>
      </colorScale>
    </cfRule>
  </conditionalFormatting>
  <conditionalFormatting sqref="C16:I19">
    <cfRule type="colorScale" priority="4">
      <colorScale>
        <cfvo type="num" val="0"/>
        <cfvo type="num" val="0.5"/>
        <color theme="0"/>
        <color theme="0" tint="-0.249977111117893"/>
      </colorScale>
    </cfRule>
  </conditionalFormatting>
  <conditionalFormatting sqref="L10">
    <cfRule type="cellIs" dxfId="6" priority="9" operator="notEqual">
      <formula>1</formula>
    </cfRule>
  </conditionalFormatting>
  <conditionalFormatting sqref="L20">
    <cfRule type="cellIs" dxfId="5" priority="8" operator="notEqual">
      <formula>1</formula>
    </cfRule>
  </conditionalFormatting>
  <conditionalFormatting sqref="L6:R9">
    <cfRule type="colorScale" priority="6">
      <colorScale>
        <cfvo type="num" val="0"/>
        <cfvo type="num" val="0.5"/>
        <color theme="0"/>
        <color theme="0" tint="-0.249977111117893"/>
      </colorScale>
    </cfRule>
  </conditionalFormatting>
  <conditionalFormatting sqref="L16:R19">
    <cfRule type="colorScale" priority="3">
      <colorScale>
        <cfvo type="num" val="0"/>
        <cfvo type="num" val="0.5"/>
        <color theme="0"/>
        <color theme="0" tint="-0.249977111117893"/>
      </colorScale>
    </cfRule>
  </conditionalFormatting>
  <conditionalFormatting sqref="U6:AA9">
    <cfRule type="colorScale" priority="5">
      <colorScale>
        <cfvo type="num" val="0"/>
        <cfvo type="num" val="0.5"/>
        <color theme="0"/>
        <color theme="0" tint="-0.249977111117893"/>
      </colorScale>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0A8D-68BB-47D3-9B19-9DCCE477FAD7}">
  <sheetPr>
    <tabColor rgb="FF00BED2"/>
  </sheetPr>
  <dimension ref="B2:AA32"/>
  <sheetViews>
    <sheetView workbookViewId="0"/>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217" t="s">
        <v>46</v>
      </c>
      <c r="C2" s="217"/>
      <c r="D2" s="217"/>
      <c r="E2" s="217"/>
      <c r="F2" s="217"/>
      <c r="G2" s="217"/>
      <c r="H2" s="217"/>
      <c r="I2" s="217"/>
      <c r="K2" s="218" t="s">
        <v>47</v>
      </c>
      <c r="L2" s="218"/>
      <c r="M2" s="218"/>
      <c r="N2" s="218"/>
      <c r="O2" s="218"/>
      <c r="P2" s="218"/>
      <c r="Q2" s="218"/>
      <c r="R2" s="218"/>
      <c r="T2" s="219" t="s">
        <v>53</v>
      </c>
      <c r="U2" s="219"/>
      <c r="V2" s="219"/>
      <c r="W2" s="219"/>
      <c r="X2" s="219"/>
      <c r="Y2" s="219"/>
      <c r="Z2" s="219"/>
      <c r="AA2" s="219"/>
    </row>
    <row r="3" spans="2:27" x14ac:dyDescent="0.25">
      <c r="T3" s="108"/>
      <c r="U3" s="108"/>
      <c r="V3" s="108"/>
      <c r="W3" s="108"/>
      <c r="X3" s="108"/>
      <c r="Y3" s="108"/>
      <c r="Z3" s="108"/>
      <c r="AA3" s="108"/>
    </row>
    <row r="4" spans="2:27" x14ac:dyDescent="0.25">
      <c r="C4" s="220" t="s">
        <v>56</v>
      </c>
      <c r="D4" s="221"/>
      <c r="E4" s="221"/>
      <c r="F4" s="221"/>
      <c r="G4" s="221"/>
      <c r="H4" s="221"/>
      <c r="I4" s="221"/>
      <c r="L4" s="222" t="s">
        <v>56</v>
      </c>
      <c r="M4" s="223"/>
      <c r="N4" s="223"/>
      <c r="O4" s="223"/>
      <c r="P4" s="223"/>
      <c r="Q4" s="223"/>
      <c r="R4" s="223"/>
      <c r="T4" s="108"/>
      <c r="U4" s="224" t="s">
        <v>0</v>
      </c>
      <c r="V4" s="225"/>
      <c r="W4" s="225"/>
      <c r="X4" s="225"/>
      <c r="Y4" s="225"/>
      <c r="Z4" s="225"/>
      <c r="AA4" s="225"/>
    </row>
    <row r="5" spans="2:27"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c r="T5" s="113" t="s">
        <v>29</v>
      </c>
      <c r="U5" s="114" t="s">
        <v>45</v>
      </c>
      <c r="V5" s="115" t="s">
        <v>21</v>
      </c>
      <c r="W5" s="115" t="s">
        <v>22</v>
      </c>
      <c r="X5" s="115" t="s">
        <v>23</v>
      </c>
      <c r="Y5" s="115" t="s">
        <v>24</v>
      </c>
      <c r="Z5" s="115" t="s">
        <v>25</v>
      </c>
      <c r="AA5" s="116" t="s">
        <v>30</v>
      </c>
    </row>
    <row r="6" spans="2:27" x14ac:dyDescent="0.25">
      <c r="B6" s="106" t="s">
        <v>41</v>
      </c>
      <c r="C6" s="88">
        <f>U6</f>
        <v>0.49821337417049516</v>
      </c>
      <c r="D6" s="60">
        <f t="shared" ref="D6:I9" si="0">V6</f>
        <v>0.38022813688212925</v>
      </c>
      <c r="E6" s="60">
        <f t="shared" si="0"/>
        <v>0.33148019457956918</v>
      </c>
      <c r="F6" s="60">
        <f t="shared" si="0"/>
        <v>0.33689839572192509</v>
      </c>
      <c r="G6" s="60">
        <f t="shared" si="0"/>
        <v>0.23270440251572327</v>
      </c>
      <c r="H6" s="60">
        <f t="shared" si="0"/>
        <v>0.27083333333333331</v>
      </c>
      <c r="I6" s="88">
        <f t="shared" si="0"/>
        <v>0.43805619438056198</v>
      </c>
      <c r="K6" s="106" t="s">
        <v>41</v>
      </c>
      <c r="L6" s="90">
        <f>U6</f>
        <v>0.49821337417049516</v>
      </c>
      <c r="M6" s="80">
        <f t="shared" ref="M6:R9" si="1">V6</f>
        <v>0.38022813688212925</v>
      </c>
      <c r="N6" s="80">
        <f t="shared" si="1"/>
        <v>0.33148019457956918</v>
      </c>
      <c r="O6" s="80">
        <f t="shared" si="1"/>
        <v>0.33689839572192509</v>
      </c>
      <c r="P6" s="80">
        <f t="shared" si="1"/>
        <v>0.23270440251572327</v>
      </c>
      <c r="Q6" s="80">
        <f t="shared" si="1"/>
        <v>0.27083333333333331</v>
      </c>
      <c r="R6" s="90">
        <f t="shared" si="1"/>
        <v>0.43805619438056198</v>
      </c>
      <c r="T6" s="112" t="s">
        <v>41</v>
      </c>
      <c r="U6" s="110">
        <f>'CALC | TASK STD'!L6</f>
        <v>0.49821337417049516</v>
      </c>
      <c r="V6" s="109">
        <f>'CALC | TASK STD'!M6</f>
        <v>0.38022813688212925</v>
      </c>
      <c r="W6" s="109">
        <f>'CALC | TASK STD'!N6</f>
        <v>0.33148019457956918</v>
      </c>
      <c r="X6" s="109">
        <f>'CALC | TASK STD'!O6</f>
        <v>0.33689839572192509</v>
      </c>
      <c r="Y6" s="109">
        <f>'CALC | TASK STD'!P6</f>
        <v>0.23270440251572327</v>
      </c>
      <c r="Z6" s="109">
        <f>'CALC | TASK STD'!Q6</f>
        <v>0.27083333333333331</v>
      </c>
      <c r="AA6" s="111">
        <f>'CALC | TASK STD'!R6</f>
        <v>0.43805619438056198</v>
      </c>
    </row>
    <row r="7" spans="2:27" x14ac:dyDescent="0.25">
      <c r="B7" s="2" t="s">
        <v>39</v>
      </c>
      <c r="C7" s="88">
        <f t="shared" ref="C7:C9" si="2">U7</f>
        <v>0.19908116385911179</v>
      </c>
      <c r="D7" s="60">
        <f t="shared" si="0"/>
        <v>0.24429657794676807</v>
      </c>
      <c r="E7" s="60">
        <f t="shared" si="0"/>
        <v>0.31619179986101459</v>
      </c>
      <c r="F7" s="60">
        <f t="shared" si="0"/>
        <v>0.27807486631016037</v>
      </c>
      <c r="G7" s="60">
        <f t="shared" si="0"/>
        <v>0.36477987421383645</v>
      </c>
      <c r="H7" s="60">
        <f t="shared" si="0"/>
        <v>0.37499999999999994</v>
      </c>
      <c r="I7" s="88">
        <f t="shared" si="0"/>
        <v>0.23187681231876808</v>
      </c>
      <c r="K7" s="2" t="s">
        <v>39</v>
      </c>
      <c r="L7" s="90">
        <f t="shared" ref="L7:L9" si="3">U7</f>
        <v>0.19908116385911179</v>
      </c>
      <c r="M7" s="80">
        <f t="shared" si="1"/>
        <v>0.24429657794676807</v>
      </c>
      <c r="N7" s="80">
        <f t="shared" si="1"/>
        <v>0.31619179986101459</v>
      </c>
      <c r="O7" s="80">
        <f t="shared" si="1"/>
        <v>0.27807486631016037</v>
      </c>
      <c r="P7" s="80">
        <f t="shared" si="1"/>
        <v>0.36477987421383645</v>
      </c>
      <c r="Q7" s="80">
        <f t="shared" si="1"/>
        <v>0.37499999999999994</v>
      </c>
      <c r="R7" s="90">
        <f t="shared" si="1"/>
        <v>0.23187681231876808</v>
      </c>
      <c r="T7" s="108" t="s">
        <v>39</v>
      </c>
      <c r="U7" s="110">
        <f>'CALC | TASK STD'!L7</f>
        <v>0.19908116385911179</v>
      </c>
      <c r="V7" s="109">
        <f>'CALC | TASK STD'!M7</f>
        <v>0.24429657794676807</v>
      </c>
      <c r="W7" s="109">
        <f>'CALC | TASK STD'!N7</f>
        <v>0.31619179986101459</v>
      </c>
      <c r="X7" s="109">
        <f>'CALC | TASK STD'!O7</f>
        <v>0.27807486631016037</v>
      </c>
      <c r="Y7" s="109">
        <f>'CALC | TASK STD'!P7</f>
        <v>0.36477987421383645</v>
      </c>
      <c r="Z7" s="109">
        <f>'CALC | TASK STD'!Q7</f>
        <v>0.37499999999999994</v>
      </c>
      <c r="AA7" s="111">
        <f>'CALC | TASK STD'!R7</f>
        <v>0.23187681231876808</v>
      </c>
    </row>
    <row r="8" spans="2:27" x14ac:dyDescent="0.25">
      <c r="B8" s="2" t="s">
        <v>40</v>
      </c>
      <c r="C8" s="88">
        <f t="shared" si="2"/>
        <v>0.24842606772162668</v>
      </c>
      <c r="D8" s="60">
        <f t="shared" si="0"/>
        <v>0.22338403041825095</v>
      </c>
      <c r="E8" s="60">
        <f t="shared" si="0"/>
        <v>0.17164697706740792</v>
      </c>
      <c r="F8" s="60">
        <f t="shared" si="0"/>
        <v>0.15240641711229946</v>
      </c>
      <c r="G8" s="60">
        <f t="shared" si="0"/>
        <v>0.19496855345911948</v>
      </c>
      <c r="H8" s="60">
        <f t="shared" si="0"/>
        <v>0.18749999999999997</v>
      </c>
      <c r="I8" s="88">
        <f t="shared" si="0"/>
        <v>0.22737726227377264</v>
      </c>
      <c r="K8" s="2" t="s">
        <v>40</v>
      </c>
      <c r="L8" s="90">
        <f t="shared" si="3"/>
        <v>0.24842606772162668</v>
      </c>
      <c r="M8" s="80">
        <f t="shared" si="1"/>
        <v>0.22338403041825095</v>
      </c>
      <c r="N8" s="80">
        <f t="shared" si="1"/>
        <v>0.17164697706740792</v>
      </c>
      <c r="O8" s="80">
        <f t="shared" si="1"/>
        <v>0.15240641711229946</v>
      </c>
      <c r="P8" s="80">
        <f t="shared" si="1"/>
        <v>0.19496855345911948</v>
      </c>
      <c r="Q8" s="80">
        <f t="shared" si="1"/>
        <v>0.18749999999999997</v>
      </c>
      <c r="R8" s="90">
        <f t="shared" si="1"/>
        <v>0.22737726227377264</v>
      </c>
      <c r="T8" s="108" t="s">
        <v>40</v>
      </c>
      <c r="U8" s="110">
        <f>'CALC | TASK STD'!L8</f>
        <v>0.24842606772162668</v>
      </c>
      <c r="V8" s="109">
        <f>'CALC | TASK STD'!M8</f>
        <v>0.22338403041825095</v>
      </c>
      <c r="W8" s="109">
        <f>'CALC | TASK STD'!N8</f>
        <v>0.17164697706740792</v>
      </c>
      <c r="X8" s="109">
        <f>'CALC | TASK STD'!O8</f>
        <v>0.15240641711229946</v>
      </c>
      <c r="Y8" s="109">
        <f>'CALC | TASK STD'!P8</f>
        <v>0.19496855345911948</v>
      </c>
      <c r="Z8" s="109">
        <f>'CALC | TASK STD'!Q8</f>
        <v>0.18749999999999997</v>
      </c>
      <c r="AA8" s="111">
        <f>'CALC | TASK STD'!R8</f>
        <v>0.22737726227377264</v>
      </c>
    </row>
    <row r="9" spans="2:27" x14ac:dyDescent="0.25">
      <c r="B9" s="2" t="s">
        <v>42</v>
      </c>
      <c r="C9" s="88">
        <f t="shared" si="2"/>
        <v>5.427939424876637E-2</v>
      </c>
      <c r="D9" s="60">
        <f t="shared" si="0"/>
        <v>0.15209125475285171</v>
      </c>
      <c r="E9" s="60">
        <f t="shared" si="0"/>
        <v>0.18068102849200834</v>
      </c>
      <c r="F9" s="60">
        <f t="shared" si="0"/>
        <v>0.23262032085561493</v>
      </c>
      <c r="G9" s="60">
        <f t="shared" si="0"/>
        <v>0.20754716981132074</v>
      </c>
      <c r="H9" s="60">
        <f t="shared" si="0"/>
        <v>0.16666666666666666</v>
      </c>
      <c r="I9" s="88">
        <f t="shared" si="0"/>
        <v>0.1026897310268973</v>
      </c>
      <c r="K9" s="2" t="s">
        <v>42</v>
      </c>
      <c r="L9" s="90">
        <f t="shared" si="3"/>
        <v>5.427939424876637E-2</v>
      </c>
      <c r="M9" s="80">
        <f t="shared" si="1"/>
        <v>0.15209125475285171</v>
      </c>
      <c r="N9" s="80">
        <f t="shared" si="1"/>
        <v>0.18068102849200834</v>
      </c>
      <c r="O9" s="80">
        <f t="shared" si="1"/>
        <v>0.23262032085561493</v>
      </c>
      <c r="P9" s="80">
        <f t="shared" si="1"/>
        <v>0.20754716981132074</v>
      </c>
      <c r="Q9" s="80">
        <f t="shared" si="1"/>
        <v>0.16666666666666666</v>
      </c>
      <c r="R9" s="90">
        <f t="shared" si="1"/>
        <v>0.1026897310268973</v>
      </c>
      <c r="T9" s="108" t="s">
        <v>42</v>
      </c>
      <c r="U9" s="110">
        <f>'CALC | TASK STD'!L9</f>
        <v>5.427939424876637E-2</v>
      </c>
      <c r="V9" s="109">
        <f>'CALC | TASK STD'!M9</f>
        <v>0.15209125475285171</v>
      </c>
      <c r="W9" s="109">
        <f>'CALC | TASK STD'!N9</f>
        <v>0.18068102849200834</v>
      </c>
      <c r="X9" s="109">
        <f>'CALC | TASK STD'!O9</f>
        <v>0.23262032085561493</v>
      </c>
      <c r="Y9" s="109">
        <f>'CALC | TASK STD'!P9</f>
        <v>0.20754716981132074</v>
      </c>
      <c r="Z9" s="109">
        <f>'CALC | TASK STD'!Q9</f>
        <v>0.16666666666666666</v>
      </c>
      <c r="AA9" s="111">
        <f>'CALC | TASK STD'!R9</f>
        <v>0.1026897310268973</v>
      </c>
    </row>
    <row r="10" spans="2:27" x14ac:dyDescent="0.25">
      <c r="B10" s="94" t="s">
        <v>30</v>
      </c>
      <c r="C10" s="95">
        <f t="shared" ref="C10:I10" si="4">SUM(C6:C9)</f>
        <v>1</v>
      </c>
      <c r="D10" s="96">
        <f t="shared" si="4"/>
        <v>0.99999999999999989</v>
      </c>
      <c r="E10" s="96">
        <f t="shared" si="4"/>
        <v>1</v>
      </c>
      <c r="F10" s="96">
        <f t="shared" si="4"/>
        <v>0.99999999999999989</v>
      </c>
      <c r="G10" s="96">
        <f t="shared" si="4"/>
        <v>0.99999999999999989</v>
      </c>
      <c r="H10" s="96">
        <f t="shared" si="4"/>
        <v>0.99999999999999989</v>
      </c>
      <c r="I10" s="95">
        <f t="shared" si="4"/>
        <v>1</v>
      </c>
      <c r="K10" s="94" t="s">
        <v>30</v>
      </c>
      <c r="L10" s="95">
        <f t="shared" ref="L10:R10" si="5">SUM(L6:L9)</f>
        <v>1</v>
      </c>
      <c r="M10" s="96">
        <f t="shared" si="5"/>
        <v>0.99999999999999989</v>
      </c>
      <c r="N10" s="96">
        <f t="shared" si="5"/>
        <v>1</v>
      </c>
      <c r="O10" s="96">
        <f t="shared" si="5"/>
        <v>0.99999999999999989</v>
      </c>
      <c r="P10" s="96">
        <f t="shared" si="5"/>
        <v>0.99999999999999989</v>
      </c>
      <c r="Q10" s="96">
        <f t="shared" si="5"/>
        <v>0.99999999999999989</v>
      </c>
      <c r="R10" s="95">
        <f t="shared" si="5"/>
        <v>1</v>
      </c>
      <c r="T10" s="117" t="s">
        <v>30</v>
      </c>
      <c r="U10" s="118">
        <f t="shared" ref="U10:AA10" si="6">SUM(U6:U9)</f>
        <v>1</v>
      </c>
      <c r="V10" s="119">
        <f t="shared" si="6"/>
        <v>0.99999999999999989</v>
      </c>
      <c r="W10" s="119">
        <f t="shared" si="6"/>
        <v>1</v>
      </c>
      <c r="X10" s="119">
        <f t="shared" si="6"/>
        <v>0.99999999999999989</v>
      </c>
      <c r="Y10" s="119">
        <f t="shared" si="6"/>
        <v>0.99999999999999989</v>
      </c>
      <c r="Z10" s="119">
        <f t="shared" si="6"/>
        <v>0.99999999999999989</v>
      </c>
      <c r="AA10" s="118">
        <f t="shared" si="6"/>
        <v>1</v>
      </c>
    </row>
    <row r="12" spans="2:27" x14ac:dyDescent="0.25">
      <c r="B12" s="204" t="s">
        <v>48</v>
      </c>
      <c r="C12" s="204"/>
      <c r="D12" s="204"/>
      <c r="E12" s="204"/>
      <c r="F12" s="204"/>
      <c r="G12" s="204"/>
      <c r="H12" s="204"/>
      <c r="I12" s="204"/>
      <c r="K12" s="212" t="s">
        <v>49</v>
      </c>
      <c r="L12" s="212"/>
      <c r="M12" s="212"/>
      <c r="N12" s="212"/>
      <c r="O12" s="212"/>
      <c r="P12" s="212"/>
      <c r="Q12" s="212"/>
      <c r="R12" s="212"/>
      <c r="AA12" s="1"/>
    </row>
    <row r="14" spans="2:27" x14ac:dyDescent="0.25">
      <c r="C14" s="213" t="s">
        <v>56</v>
      </c>
      <c r="D14" s="214"/>
      <c r="E14" s="214"/>
      <c r="F14" s="214"/>
      <c r="G14" s="214"/>
      <c r="H14" s="214"/>
      <c r="I14" s="214"/>
      <c r="L14" s="215" t="s">
        <v>56</v>
      </c>
      <c r="M14" s="216"/>
      <c r="N14" s="216"/>
      <c r="O14" s="216"/>
      <c r="P14" s="216"/>
      <c r="Q14" s="216"/>
      <c r="R14" s="216"/>
    </row>
    <row r="15" spans="2:27"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27" x14ac:dyDescent="0.25">
      <c r="B16" s="106" t="s">
        <v>41</v>
      </c>
      <c r="C16" s="88">
        <f t="shared" ref="C16:I19" si="7">U6</f>
        <v>0.49821337417049516</v>
      </c>
      <c r="D16" s="60">
        <f t="shared" si="7"/>
        <v>0.38022813688212925</v>
      </c>
      <c r="E16" s="60">
        <f t="shared" si="7"/>
        <v>0.33148019457956918</v>
      </c>
      <c r="F16" s="60">
        <f t="shared" si="7"/>
        <v>0.33689839572192509</v>
      </c>
      <c r="G16" s="60">
        <f t="shared" si="7"/>
        <v>0.23270440251572327</v>
      </c>
      <c r="H16" s="60">
        <f t="shared" si="7"/>
        <v>0.27083333333333331</v>
      </c>
      <c r="I16" s="88">
        <f t="shared" si="7"/>
        <v>0.43805619438056198</v>
      </c>
      <c r="K16" s="106" t="s">
        <v>41</v>
      </c>
      <c r="L16" s="88">
        <f t="shared" ref="L16:R19" si="8">U6</f>
        <v>0.49821337417049516</v>
      </c>
      <c r="M16" s="60">
        <f t="shared" si="8"/>
        <v>0.38022813688212925</v>
      </c>
      <c r="N16" s="60">
        <f t="shared" si="8"/>
        <v>0.33148019457956918</v>
      </c>
      <c r="O16" s="60">
        <f t="shared" si="8"/>
        <v>0.33689839572192509</v>
      </c>
      <c r="P16" s="60">
        <f t="shared" si="8"/>
        <v>0.23270440251572327</v>
      </c>
      <c r="Q16" s="60">
        <f t="shared" si="8"/>
        <v>0.27083333333333331</v>
      </c>
      <c r="R16" s="88">
        <f t="shared" si="8"/>
        <v>0.43805619438056198</v>
      </c>
    </row>
    <row r="17" spans="2:18" x14ac:dyDescent="0.25">
      <c r="B17" s="2" t="s">
        <v>39</v>
      </c>
      <c r="C17" s="88">
        <f t="shared" si="7"/>
        <v>0.19908116385911179</v>
      </c>
      <c r="D17" s="60">
        <f t="shared" si="7"/>
        <v>0.24429657794676807</v>
      </c>
      <c r="E17" s="60">
        <f t="shared" si="7"/>
        <v>0.31619179986101459</v>
      </c>
      <c r="F17" s="60">
        <f t="shared" si="7"/>
        <v>0.27807486631016037</v>
      </c>
      <c r="G17" s="60">
        <f t="shared" si="7"/>
        <v>0.36477987421383645</v>
      </c>
      <c r="H17" s="60">
        <f t="shared" si="7"/>
        <v>0.37499999999999994</v>
      </c>
      <c r="I17" s="88">
        <f t="shared" si="7"/>
        <v>0.23187681231876808</v>
      </c>
      <c r="K17" s="2" t="s">
        <v>39</v>
      </c>
      <c r="L17" s="88">
        <f t="shared" si="8"/>
        <v>0.19908116385911179</v>
      </c>
      <c r="M17" s="60">
        <f t="shared" si="8"/>
        <v>0.24429657794676807</v>
      </c>
      <c r="N17" s="60">
        <f t="shared" si="8"/>
        <v>0.31619179986101459</v>
      </c>
      <c r="O17" s="60">
        <f t="shared" si="8"/>
        <v>0.27807486631016037</v>
      </c>
      <c r="P17" s="60">
        <f t="shared" si="8"/>
        <v>0.36477987421383645</v>
      </c>
      <c r="Q17" s="60">
        <f t="shared" si="8"/>
        <v>0.37499999999999994</v>
      </c>
      <c r="R17" s="88">
        <f t="shared" si="8"/>
        <v>0.23187681231876808</v>
      </c>
    </row>
    <row r="18" spans="2:18" x14ac:dyDescent="0.25">
      <c r="B18" s="2" t="s">
        <v>40</v>
      </c>
      <c r="C18" s="88">
        <f t="shared" si="7"/>
        <v>0.24842606772162668</v>
      </c>
      <c r="D18" s="60">
        <f t="shared" si="7"/>
        <v>0.22338403041825095</v>
      </c>
      <c r="E18" s="60">
        <f t="shared" si="7"/>
        <v>0.17164697706740792</v>
      </c>
      <c r="F18" s="60">
        <f t="shared" si="7"/>
        <v>0.15240641711229946</v>
      </c>
      <c r="G18" s="60">
        <f t="shared" si="7"/>
        <v>0.19496855345911948</v>
      </c>
      <c r="H18" s="60">
        <f t="shared" si="7"/>
        <v>0.18749999999999997</v>
      </c>
      <c r="I18" s="88">
        <f t="shared" si="7"/>
        <v>0.22737726227377264</v>
      </c>
      <c r="K18" s="2" t="s">
        <v>40</v>
      </c>
      <c r="L18" s="88">
        <f t="shared" si="8"/>
        <v>0.24842606772162668</v>
      </c>
      <c r="M18" s="60">
        <f t="shared" si="8"/>
        <v>0.22338403041825095</v>
      </c>
      <c r="N18" s="60">
        <f t="shared" si="8"/>
        <v>0.17164697706740792</v>
      </c>
      <c r="O18" s="60">
        <f t="shared" si="8"/>
        <v>0.15240641711229946</v>
      </c>
      <c r="P18" s="60">
        <f t="shared" si="8"/>
        <v>0.19496855345911948</v>
      </c>
      <c r="Q18" s="60">
        <f t="shared" si="8"/>
        <v>0.18749999999999997</v>
      </c>
      <c r="R18" s="88">
        <f t="shared" si="8"/>
        <v>0.22737726227377264</v>
      </c>
    </row>
    <row r="19" spans="2:18" x14ac:dyDescent="0.25">
      <c r="B19" s="2" t="s">
        <v>42</v>
      </c>
      <c r="C19" s="88">
        <f t="shared" si="7"/>
        <v>5.427939424876637E-2</v>
      </c>
      <c r="D19" s="60">
        <f t="shared" si="7"/>
        <v>0.15209125475285171</v>
      </c>
      <c r="E19" s="60">
        <f t="shared" si="7"/>
        <v>0.18068102849200834</v>
      </c>
      <c r="F19" s="60">
        <f t="shared" si="7"/>
        <v>0.23262032085561493</v>
      </c>
      <c r="G19" s="60">
        <f t="shared" si="7"/>
        <v>0.20754716981132074</v>
      </c>
      <c r="H19" s="60">
        <f t="shared" si="7"/>
        <v>0.16666666666666666</v>
      </c>
      <c r="I19" s="88">
        <f t="shared" si="7"/>
        <v>0.1026897310268973</v>
      </c>
      <c r="K19" s="2" t="s">
        <v>42</v>
      </c>
      <c r="L19" s="88">
        <f t="shared" si="8"/>
        <v>5.427939424876637E-2</v>
      </c>
      <c r="M19" s="60">
        <f t="shared" si="8"/>
        <v>0.15209125475285171</v>
      </c>
      <c r="N19" s="60">
        <f t="shared" si="8"/>
        <v>0.18068102849200834</v>
      </c>
      <c r="O19" s="60">
        <f t="shared" si="8"/>
        <v>0.23262032085561493</v>
      </c>
      <c r="P19" s="60">
        <f t="shared" si="8"/>
        <v>0.20754716981132074</v>
      </c>
      <c r="Q19" s="60">
        <f t="shared" si="8"/>
        <v>0.16666666666666666</v>
      </c>
      <c r="R19" s="88">
        <f t="shared" si="8"/>
        <v>0.1026897310268973</v>
      </c>
    </row>
    <row r="20" spans="2:18" x14ac:dyDescent="0.25">
      <c r="B20" s="94" t="s">
        <v>30</v>
      </c>
      <c r="C20" s="95">
        <f t="shared" ref="C20:I20" si="9">SUM(C16:C19)</f>
        <v>1</v>
      </c>
      <c r="D20" s="96">
        <f t="shared" si="9"/>
        <v>0.99999999999999989</v>
      </c>
      <c r="E20" s="96">
        <f t="shared" si="9"/>
        <v>1</v>
      </c>
      <c r="F20" s="96">
        <f t="shared" si="9"/>
        <v>0.99999999999999989</v>
      </c>
      <c r="G20" s="96">
        <f t="shared" si="9"/>
        <v>0.99999999999999989</v>
      </c>
      <c r="H20" s="96">
        <f t="shared" si="9"/>
        <v>0.99999999999999989</v>
      </c>
      <c r="I20" s="95">
        <f t="shared" si="9"/>
        <v>1</v>
      </c>
      <c r="K20" s="94" t="s">
        <v>30</v>
      </c>
      <c r="L20" s="95">
        <f t="shared" ref="L20:R20" si="10">SUM(L16:L19)</f>
        <v>1</v>
      </c>
      <c r="M20" s="96">
        <f t="shared" si="10"/>
        <v>0.99999999999999989</v>
      </c>
      <c r="N20" s="96">
        <f t="shared" si="10"/>
        <v>1</v>
      </c>
      <c r="O20" s="96">
        <f t="shared" si="10"/>
        <v>0.99999999999999989</v>
      </c>
      <c r="P20" s="96">
        <f t="shared" si="10"/>
        <v>0.99999999999999989</v>
      </c>
      <c r="Q20" s="96">
        <f t="shared" si="10"/>
        <v>0.99999999999999989</v>
      </c>
      <c r="R20" s="95">
        <f t="shared" si="10"/>
        <v>1</v>
      </c>
    </row>
    <row r="21" spans="2:18" x14ac:dyDescent="0.25">
      <c r="B21" s="66"/>
      <c r="C21" s="107"/>
      <c r="D21" s="107"/>
      <c r="E21" s="107"/>
      <c r="F21" s="107"/>
      <c r="G21" s="107"/>
      <c r="H21" s="107"/>
      <c r="I21" s="107"/>
      <c r="K21" s="66"/>
      <c r="L21" s="107"/>
      <c r="M21" s="107"/>
      <c r="N21" s="107"/>
      <c r="O21" s="107"/>
      <c r="P21" s="107"/>
      <c r="Q21" s="107"/>
      <c r="R21" s="107"/>
    </row>
    <row r="22" spans="2:18" x14ac:dyDescent="0.25">
      <c r="B22" s="66"/>
      <c r="C22" s="107"/>
      <c r="D22" s="107"/>
      <c r="E22" s="107"/>
      <c r="F22" s="107"/>
      <c r="G22" s="107"/>
      <c r="H22" s="107"/>
      <c r="I22" s="107"/>
      <c r="K22" s="66"/>
      <c r="L22" s="107"/>
      <c r="M22" s="107"/>
      <c r="N22" s="107"/>
      <c r="O22" s="107"/>
      <c r="P22" s="107"/>
      <c r="Q22" s="107"/>
      <c r="R22" s="107"/>
    </row>
    <row r="24" spans="2:18" x14ac:dyDescent="0.25">
      <c r="B24" s="210" t="s">
        <v>54</v>
      </c>
      <c r="C24" s="210"/>
      <c r="D24" s="210"/>
      <c r="E24" s="210"/>
      <c r="F24" s="210"/>
      <c r="G24" s="210"/>
      <c r="H24" s="210"/>
      <c r="K24" s="210" t="s">
        <v>55</v>
      </c>
      <c r="L24" s="210"/>
      <c r="M24" s="210"/>
      <c r="N24" s="210"/>
      <c r="O24" s="210"/>
      <c r="P24" s="210"/>
      <c r="Q24" s="210"/>
    </row>
    <row r="26" spans="2:18" x14ac:dyDescent="0.25">
      <c r="C26" s="211" t="s">
        <v>56</v>
      </c>
      <c r="D26" s="210"/>
      <c r="E26" s="210"/>
      <c r="F26" s="210"/>
      <c r="G26" s="210"/>
      <c r="H26" s="210"/>
      <c r="L26" s="211" t="s">
        <v>56</v>
      </c>
      <c r="M26" s="210"/>
      <c r="N26" s="210"/>
      <c r="O26" s="210"/>
      <c r="P26" s="210"/>
      <c r="Q26" s="210"/>
    </row>
    <row r="27" spans="2:18" x14ac:dyDescent="0.25">
      <c r="B27" s="84" t="s">
        <v>50</v>
      </c>
      <c r="C27" s="81" t="s">
        <v>45</v>
      </c>
      <c r="D27" s="82" t="s">
        <v>21</v>
      </c>
      <c r="E27" s="82" t="s">
        <v>22</v>
      </c>
      <c r="F27" s="82" t="s">
        <v>23</v>
      </c>
      <c r="G27" s="82" t="s">
        <v>24</v>
      </c>
      <c r="H27" s="83" t="s">
        <v>25</v>
      </c>
      <c r="K27" s="84" t="s">
        <v>50</v>
      </c>
      <c r="L27" s="81" t="s">
        <v>45</v>
      </c>
      <c r="M27" s="82" t="s">
        <v>21</v>
      </c>
      <c r="N27" s="82" t="s">
        <v>22</v>
      </c>
      <c r="O27" s="82" t="s">
        <v>23</v>
      </c>
      <c r="P27" s="82" t="s">
        <v>24</v>
      </c>
      <c r="Q27" s="83" t="s">
        <v>25</v>
      </c>
    </row>
    <row r="28" spans="2:18" x14ac:dyDescent="0.25">
      <c r="B28" s="13" t="s">
        <v>16</v>
      </c>
      <c r="C28" s="67">
        <v>0.25</v>
      </c>
      <c r="D28" s="68">
        <v>0.25</v>
      </c>
      <c r="E28" s="68">
        <v>0.25</v>
      </c>
      <c r="F28" s="68">
        <v>0.25</v>
      </c>
      <c r="G28" s="68">
        <v>0.25</v>
      </c>
      <c r="H28" s="68">
        <v>0.25</v>
      </c>
      <c r="K28" s="2" t="s">
        <v>51</v>
      </c>
      <c r="L28" s="74">
        <v>44</v>
      </c>
      <c r="M28" s="75">
        <v>44</v>
      </c>
      <c r="N28" s="75">
        <v>44</v>
      </c>
      <c r="O28" s="75">
        <v>44</v>
      </c>
      <c r="P28" s="75">
        <v>44</v>
      </c>
      <c r="Q28" s="75">
        <v>44</v>
      </c>
    </row>
    <row r="29" spans="2:18" x14ac:dyDescent="0.25">
      <c r="B29" s="18" t="s">
        <v>17</v>
      </c>
      <c r="C29" s="59">
        <v>0.25</v>
      </c>
      <c r="D29" s="60">
        <v>0.25</v>
      </c>
      <c r="E29" s="60">
        <v>0.25</v>
      </c>
      <c r="F29" s="60">
        <v>0.25</v>
      </c>
      <c r="G29" s="60">
        <v>0.25</v>
      </c>
      <c r="H29" s="60">
        <v>0.25</v>
      </c>
      <c r="K29" s="2" t="s">
        <v>52</v>
      </c>
      <c r="L29" s="76">
        <v>37.5</v>
      </c>
      <c r="M29" s="77">
        <v>37.5</v>
      </c>
      <c r="N29" s="77">
        <v>37.5</v>
      </c>
      <c r="O29" s="77">
        <v>37.5</v>
      </c>
      <c r="P29" s="77">
        <v>37.5</v>
      </c>
      <c r="Q29" s="77">
        <v>37.5</v>
      </c>
    </row>
    <row r="30" spans="2:18" x14ac:dyDescent="0.25">
      <c r="B30" s="19" t="s">
        <v>18</v>
      </c>
      <c r="C30" s="59">
        <v>0.25</v>
      </c>
      <c r="D30" s="60">
        <v>0.25</v>
      </c>
      <c r="E30" s="60">
        <v>0.25</v>
      </c>
      <c r="F30" s="60">
        <v>0.25</v>
      </c>
      <c r="G30" s="60">
        <v>0.25</v>
      </c>
      <c r="H30" s="60">
        <v>0.25</v>
      </c>
      <c r="K30" s="71" t="s">
        <v>30</v>
      </c>
      <c r="L30" s="78">
        <f t="shared" ref="L30:Q30" si="11">44*37.5</f>
        <v>1650</v>
      </c>
      <c r="M30" s="79">
        <f t="shared" si="11"/>
        <v>1650</v>
      </c>
      <c r="N30" s="79">
        <f t="shared" si="11"/>
        <v>1650</v>
      </c>
      <c r="O30" s="79">
        <f t="shared" si="11"/>
        <v>1650</v>
      </c>
      <c r="P30" s="79">
        <f t="shared" si="11"/>
        <v>1650</v>
      </c>
      <c r="Q30" s="79">
        <f t="shared" si="11"/>
        <v>1650</v>
      </c>
    </row>
    <row r="31" spans="2:18" x14ac:dyDescent="0.25">
      <c r="B31" s="20" t="s">
        <v>19</v>
      </c>
      <c r="C31" s="69">
        <v>0.25</v>
      </c>
      <c r="D31" s="70">
        <v>0.25</v>
      </c>
      <c r="E31" s="70">
        <v>0.25</v>
      </c>
      <c r="F31" s="70">
        <v>0.25</v>
      </c>
      <c r="G31" s="70">
        <v>0.25</v>
      </c>
      <c r="H31" s="70">
        <v>0.25</v>
      </c>
    </row>
    <row r="32" spans="2:18" x14ac:dyDescent="0.25">
      <c r="B32" s="71" t="s">
        <v>30</v>
      </c>
      <c r="C32" s="72">
        <f t="shared" ref="C32:H32" si="12">SUM(C28:C31)</f>
        <v>1</v>
      </c>
      <c r="D32" s="73">
        <f t="shared" si="12"/>
        <v>1</v>
      </c>
      <c r="E32" s="73">
        <f t="shared" si="12"/>
        <v>1</v>
      </c>
      <c r="F32" s="73">
        <f t="shared" si="12"/>
        <v>1</v>
      </c>
      <c r="G32" s="73">
        <f t="shared" si="12"/>
        <v>1</v>
      </c>
      <c r="H32" s="73">
        <f t="shared" si="12"/>
        <v>1</v>
      </c>
    </row>
  </sheetData>
  <mergeCells count="14">
    <mergeCell ref="B2:I2"/>
    <mergeCell ref="K2:R2"/>
    <mergeCell ref="T2:AA2"/>
    <mergeCell ref="C4:I4"/>
    <mergeCell ref="L4:R4"/>
    <mergeCell ref="U4:AA4"/>
    <mergeCell ref="K24:Q24"/>
    <mergeCell ref="L26:Q26"/>
    <mergeCell ref="B12:I12"/>
    <mergeCell ref="K12:R12"/>
    <mergeCell ref="B24:H24"/>
    <mergeCell ref="C14:I14"/>
    <mergeCell ref="L14:R14"/>
    <mergeCell ref="C26:H26"/>
  </mergeCells>
  <conditionalFormatting sqref="C10">
    <cfRule type="cellIs" dxfId="4" priority="11" operator="notEqual">
      <formula>1</formula>
    </cfRule>
  </conditionalFormatting>
  <conditionalFormatting sqref="C20">
    <cfRule type="cellIs" dxfId="3" priority="7" operator="notEqual">
      <formula>1</formula>
    </cfRule>
  </conditionalFormatting>
  <conditionalFormatting sqref="C28:H31">
    <cfRule type="colorScale" priority="1">
      <colorScale>
        <cfvo type="num" val="0"/>
        <cfvo type="num" val="0.5"/>
        <color theme="0"/>
        <color theme="0" tint="-0.249977111117893"/>
      </colorScale>
    </cfRule>
  </conditionalFormatting>
  <conditionalFormatting sqref="C32:H32">
    <cfRule type="cellIs" dxfId="2" priority="2" operator="notEqual">
      <formula>1</formula>
    </cfRule>
  </conditionalFormatting>
  <conditionalFormatting sqref="C6:I9">
    <cfRule type="colorScale" priority="10">
      <colorScale>
        <cfvo type="num" val="0"/>
        <cfvo type="num" val="0.5"/>
        <color theme="0"/>
        <color theme="0" tint="-0.249977111117893"/>
      </colorScale>
    </cfRule>
  </conditionalFormatting>
  <conditionalFormatting sqref="C16:I19">
    <cfRule type="colorScale" priority="4">
      <colorScale>
        <cfvo type="num" val="0"/>
        <cfvo type="num" val="0.5"/>
        <color theme="0"/>
        <color theme="0" tint="-0.249977111117893"/>
      </colorScale>
    </cfRule>
  </conditionalFormatting>
  <conditionalFormatting sqref="L10">
    <cfRule type="cellIs" dxfId="1" priority="9" operator="notEqual">
      <formula>1</formula>
    </cfRule>
  </conditionalFormatting>
  <conditionalFormatting sqref="L20">
    <cfRule type="cellIs" dxfId="0" priority="8" operator="notEqual">
      <formula>1</formula>
    </cfRule>
  </conditionalFormatting>
  <conditionalFormatting sqref="L6:R9">
    <cfRule type="colorScale" priority="6">
      <colorScale>
        <cfvo type="num" val="0"/>
        <cfvo type="num" val="0.5"/>
        <color theme="0"/>
        <color theme="0" tint="-0.249977111117893"/>
      </colorScale>
    </cfRule>
  </conditionalFormatting>
  <conditionalFormatting sqref="L16:R19">
    <cfRule type="colorScale" priority="3">
      <colorScale>
        <cfvo type="num" val="0"/>
        <cfvo type="num" val="0.5"/>
        <color theme="0"/>
        <color theme="0" tint="-0.249977111117893"/>
      </colorScale>
    </cfRule>
  </conditionalFormatting>
  <conditionalFormatting sqref="U6:AA9">
    <cfRule type="colorScale" priority="5">
      <colorScale>
        <cfvo type="num" val="0"/>
        <cfvo type="num" val="0.5"/>
        <color theme="0"/>
        <color theme="0" tint="-0.249977111117893"/>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6398-D5F5-464C-98FD-0B950F513835}">
  <sheetPr>
    <tabColor theme="1"/>
  </sheetPr>
  <dimension ref="B2:AA32"/>
  <sheetViews>
    <sheetView workbookViewId="0">
      <selection activeCell="K32" sqref="K32"/>
    </sheetView>
  </sheetViews>
  <sheetFormatPr defaultRowHeight="15" x14ac:dyDescent="0.25"/>
  <cols>
    <col min="1" max="1" width="2.7109375" style="2" customWidth="1"/>
    <col min="2" max="2" width="39.42578125" style="2" bestFit="1" customWidth="1"/>
    <col min="3" max="8" width="9.140625" style="2"/>
    <col min="9" max="9" width="11.140625" style="2" bestFit="1" customWidth="1"/>
    <col min="10" max="10" width="2.7109375" style="2" customWidth="1"/>
    <col min="11" max="11" width="39.42578125" style="2" bestFit="1" customWidth="1"/>
    <col min="12" max="18" width="9.140625" style="2"/>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217" t="s">
        <v>46</v>
      </c>
      <c r="C2" s="217"/>
      <c r="D2" s="217"/>
      <c r="E2" s="217"/>
      <c r="F2" s="217"/>
      <c r="G2" s="217"/>
      <c r="H2" s="217"/>
      <c r="I2" s="217"/>
      <c r="K2" s="218" t="s">
        <v>47</v>
      </c>
      <c r="L2" s="218"/>
      <c r="M2" s="218"/>
      <c r="N2" s="218"/>
      <c r="O2" s="218"/>
      <c r="P2" s="218"/>
      <c r="Q2" s="218"/>
      <c r="R2" s="218"/>
      <c r="T2" s="219" t="s">
        <v>53</v>
      </c>
      <c r="U2" s="219"/>
      <c r="V2" s="219"/>
      <c r="W2" s="219"/>
      <c r="X2" s="219"/>
      <c r="Y2" s="219"/>
      <c r="Z2" s="219"/>
      <c r="AA2" s="219"/>
    </row>
    <row r="3" spans="2:27" x14ac:dyDescent="0.25">
      <c r="T3" s="108"/>
      <c r="U3" s="108"/>
      <c r="V3" s="108"/>
      <c r="W3" s="108"/>
      <c r="X3" s="108"/>
      <c r="Y3" s="108"/>
      <c r="Z3" s="108"/>
      <c r="AA3" s="108"/>
    </row>
    <row r="4" spans="2:27" x14ac:dyDescent="0.25">
      <c r="C4" s="220" t="s">
        <v>56</v>
      </c>
      <c r="D4" s="221"/>
      <c r="E4" s="221"/>
      <c r="F4" s="221"/>
      <c r="G4" s="221"/>
      <c r="H4" s="221"/>
      <c r="I4" s="221"/>
      <c r="L4" s="222" t="s">
        <v>56</v>
      </c>
      <c r="M4" s="223"/>
      <c r="N4" s="223"/>
      <c r="O4" s="223"/>
      <c r="P4" s="223"/>
      <c r="Q4" s="223"/>
      <c r="R4" s="223"/>
      <c r="T4" s="108"/>
      <c r="U4" s="224" t="s">
        <v>0</v>
      </c>
      <c r="V4" s="225"/>
      <c r="W4" s="225"/>
      <c r="X4" s="225"/>
      <c r="Y4" s="225"/>
      <c r="Z4" s="225"/>
      <c r="AA4" s="225"/>
    </row>
    <row r="5" spans="2:27"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c r="T5" s="113" t="s">
        <v>29</v>
      </c>
      <c r="U5" s="114" t="s">
        <v>45</v>
      </c>
      <c r="V5" s="115" t="s">
        <v>21</v>
      </c>
      <c r="W5" s="115" t="s">
        <v>22</v>
      </c>
      <c r="X5" s="115" t="s">
        <v>23</v>
      </c>
      <c r="Y5" s="115" t="s">
        <v>24</v>
      </c>
      <c r="Z5" s="115" t="s">
        <v>25</v>
      </c>
      <c r="AA5" s="116" t="s">
        <v>30</v>
      </c>
    </row>
    <row r="6" spans="2:27" x14ac:dyDescent="0.25">
      <c r="B6" s="106" t="s">
        <v>41</v>
      </c>
      <c r="C6" s="133">
        <f>C$10*'INPUT | BLINE | TASKS'!C6</f>
        <v>0</v>
      </c>
      <c r="D6" s="129">
        <f>D$10*'INPUT | BLINE | TASKS'!D6</f>
        <v>1904732.949852593</v>
      </c>
      <c r="E6" s="129">
        <f>E$10*'INPUT | BLINE | TASKS'!E6</f>
        <v>586372.00534382381</v>
      </c>
      <c r="F6" s="129">
        <f>F$10*'INPUT | BLINE | TASKS'!F6</f>
        <v>232316.45749745824</v>
      </c>
      <c r="G6" s="129">
        <f>G$10*'INPUT | BLINE | TASKS'!G6</f>
        <v>95229.508308783275</v>
      </c>
      <c r="H6" s="129">
        <f>H$10*'INPUT | BLINE | TASKS'!H6</f>
        <v>116191.82532634838</v>
      </c>
      <c r="I6" s="133">
        <f>SUM(C6:H6)</f>
        <v>2934842.7463290067</v>
      </c>
      <c r="K6" s="106" t="s">
        <v>41</v>
      </c>
      <c r="L6" s="133">
        <f>L$10*'INPUT | BLINE | TASKS'!L6</f>
        <v>0</v>
      </c>
      <c r="M6" s="129">
        <f>M$10*'INPUT | BLINE | TASKS'!M6</f>
        <v>1904732.949852593</v>
      </c>
      <c r="N6" s="129">
        <f>N$10*'INPUT | BLINE | TASKS'!N6</f>
        <v>586372.00534382381</v>
      </c>
      <c r="O6" s="129">
        <f>O$10*'INPUT | BLINE | TASKS'!O6</f>
        <v>232316.45749745824</v>
      </c>
      <c r="P6" s="129">
        <f>P$10*'INPUT | BLINE | TASKS'!P6</f>
        <v>95229.508308783275</v>
      </c>
      <c r="Q6" s="129">
        <f>Q$10*'INPUT | BLINE | TASKS'!Q6</f>
        <v>116191.82532634838</v>
      </c>
      <c r="R6" s="133">
        <f>SUM(L6:Q6)</f>
        <v>2934842.7463290067</v>
      </c>
      <c r="T6" s="137" t="s">
        <v>41</v>
      </c>
      <c r="U6" s="136">
        <f>C6+L6+C16+L16</f>
        <v>0</v>
      </c>
      <c r="V6" s="138">
        <f t="shared" ref="V6:AA6" si="0">D6+M6+D16+M16</f>
        <v>7618931.799410372</v>
      </c>
      <c r="W6" s="138">
        <f t="shared" si="0"/>
        <v>2345488.0213752952</v>
      </c>
      <c r="X6" s="138">
        <f t="shared" si="0"/>
        <v>929265.82998983294</v>
      </c>
      <c r="Y6" s="138">
        <f t="shared" si="0"/>
        <v>380918.0332351331</v>
      </c>
      <c r="Z6" s="138">
        <f t="shared" si="0"/>
        <v>464767.30130539351</v>
      </c>
      <c r="AA6" s="136">
        <f t="shared" si="0"/>
        <v>11739370.985316027</v>
      </c>
    </row>
    <row r="7" spans="2:27" x14ac:dyDescent="0.25">
      <c r="B7" s="2" t="s">
        <v>39</v>
      </c>
      <c r="C7" s="133">
        <f>C$10*'INPUT | BLINE | TASKS'!C7</f>
        <v>0</v>
      </c>
      <c r="D7" s="129">
        <f>D$10*'INPUT | BLINE | TASKS'!D7</f>
        <v>1223790.9202802912</v>
      </c>
      <c r="E7" s="129">
        <f>E$10*'INPUT | BLINE | TASKS'!E7</f>
        <v>559327.59419589059</v>
      </c>
      <c r="F7" s="129">
        <f>F$10*'INPUT | BLINE | TASKS'!F7</f>
        <v>191753.26650583855</v>
      </c>
      <c r="G7" s="129">
        <f>G$10*'INPUT | BLINE | TASKS'!G7</f>
        <v>149278.68870025486</v>
      </c>
      <c r="H7" s="129">
        <f>H$10*'INPUT | BLINE | TASKS'!H7</f>
        <v>160880.98891340542</v>
      </c>
      <c r="I7" s="133">
        <f t="shared" ref="I7:I10" si="1">SUM(C7:H7)</f>
        <v>2285031.4585956805</v>
      </c>
      <c r="K7" s="2" t="s">
        <v>39</v>
      </c>
      <c r="L7" s="133">
        <f>L$10*'INPUT | BLINE | TASKS'!L7</f>
        <v>0</v>
      </c>
      <c r="M7" s="129">
        <f>M$10*'INPUT | BLINE | TASKS'!M7</f>
        <v>1223790.9202802912</v>
      </c>
      <c r="N7" s="129">
        <f>N$10*'INPUT | BLINE | TASKS'!N7</f>
        <v>559327.59419589059</v>
      </c>
      <c r="O7" s="129">
        <f>O$10*'INPUT | BLINE | TASKS'!O7</f>
        <v>191753.26650583855</v>
      </c>
      <c r="P7" s="129">
        <f>P$10*'INPUT | BLINE | TASKS'!P7</f>
        <v>149278.68870025486</v>
      </c>
      <c r="Q7" s="129">
        <f>Q$10*'INPUT | BLINE | TASKS'!Q7</f>
        <v>160880.98891340542</v>
      </c>
      <c r="R7" s="133">
        <f t="shared" ref="R7:R10" si="2">SUM(L7:Q7)</f>
        <v>2285031.4585956805</v>
      </c>
      <c r="T7" s="139" t="s">
        <v>39</v>
      </c>
      <c r="U7" s="136">
        <f t="shared" ref="U7:AA7" si="3">C7+L7+C17+L17</f>
        <v>0</v>
      </c>
      <c r="V7" s="138">
        <f t="shared" si="3"/>
        <v>4895163.6811211649</v>
      </c>
      <c r="W7" s="138">
        <f t="shared" si="3"/>
        <v>2237310.3767835624</v>
      </c>
      <c r="X7" s="138">
        <f t="shared" si="3"/>
        <v>767013.06602335419</v>
      </c>
      <c r="Y7" s="138">
        <f t="shared" si="3"/>
        <v>597114.75480101944</v>
      </c>
      <c r="Z7" s="138">
        <f t="shared" si="3"/>
        <v>643523.9556536217</v>
      </c>
      <c r="AA7" s="136">
        <f t="shared" si="3"/>
        <v>9140125.8343827222</v>
      </c>
    </row>
    <row r="8" spans="2:27" x14ac:dyDescent="0.25">
      <c r="B8" s="2" t="s">
        <v>40</v>
      </c>
      <c r="C8" s="133">
        <f>C$10*'INPUT | BLINE | TASKS'!C8</f>
        <v>0</v>
      </c>
      <c r="D8" s="129">
        <f>D$10*'INPUT | BLINE | TASKS'!D8</f>
        <v>1119030.6080383984</v>
      </c>
      <c r="E8" s="129">
        <f>E$10*'INPUT | BLINE | TASKS'!E8</f>
        <v>303634.97970634064</v>
      </c>
      <c r="F8" s="129">
        <f>F$10*'INPUT | BLINE | TASKS'!F8</f>
        <v>105095.54029646922</v>
      </c>
      <c r="G8" s="129">
        <f>G$10*'INPUT | BLINE | TASKS'!G8</f>
        <v>79786.885339791392</v>
      </c>
      <c r="H8" s="129">
        <f>H$10*'INPUT | BLINE | TASKS'!H8</f>
        <v>80440.494456702712</v>
      </c>
      <c r="I8" s="133">
        <f t="shared" si="1"/>
        <v>1687988.5078377023</v>
      </c>
      <c r="K8" s="2" t="s">
        <v>40</v>
      </c>
      <c r="L8" s="133">
        <f>L$10*'INPUT | BLINE | TASKS'!L8</f>
        <v>0</v>
      </c>
      <c r="M8" s="129">
        <f>M$10*'INPUT | BLINE | TASKS'!M8</f>
        <v>1119030.6080383984</v>
      </c>
      <c r="N8" s="129">
        <f>N$10*'INPUT | BLINE | TASKS'!N8</f>
        <v>303634.97970634064</v>
      </c>
      <c r="O8" s="129">
        <f>O$10*'INPUT | BLINE | TASKS'!O8</f>
        <v>105095.54029646922</v>
      </c>
      <c r="P8" s="129">
        <f>P$10*'INPUT | BLINE | TASKS'!P8</f>
        <v>79786.885339791392</v>
      </c>
      <c r="Q8" s="129">
        <f>Q$10*'INPUT | BLINE | TASKS'!Q8</f>
        <v>80440.494456702712</v>
      </c>
      <c r="R8" s="133">
        <f t="shared" si="2"/>
        <v>1687988.5078377023</v>
      </c>
      <c r="T8" s="139" t="s">
        <v>40</v>
      </c>
      <c r="U8" s="136">
        <f t="shared" ref="U8:AA8" si="4">C8+L8+C18+L18</f>
        <v>0</v>
      </c>
      <c r="V8" s="138">
        <f t="shared" si="4"/>
        <v>4476122.4321535937</v>
      </c>
      <c r="W8" s="138">
        <f t="shared" si="4"/>
        <v>1214539.9188253626</v>
      </c>
      <c r="X8" s="138">
        <f t="shared" si="4"/>
        <v>420382.16118587687</v>
      </c>
      <c r="Y8" s="138">
        <f t="shared" si="4"/>
        <v>319147.54135916557</v>
      </c>
      <c r="Z8" s="138">
        <f t="shared" si="4"/>
        <v>321761.97782681085</v>
      </c>
      <c r="AA8" s="136">
        <f t="shared" si="4"/>
        <v>6751954.0313508091</v>
      </c>
    </row>
    <row r="9" spans="2:27" x14ac:dyDescent="0.25">
      <c r="B9" s="2" t="s">
        <v>42</v>
      </c>
      <c r="C9" s="133">
        <f>C$10*'INPUT | BLINE | TASKS'!C9</f>
        <v>0</v>
      </c>
      <c r="D9" s="129">
        <f>D$10*'INPUT | BLINE | TASKS'!D9</f>
        <v>761893.1799410372</v>
      </c>
      <c r="E9" s="129">
        <f>E$10*'INPUT | BLINE | TASKS'!E9</f>
        <v>319615.7681119375</v>
      </c>
      <c r="F9" s="129">
        <f>F$10*'INPUT | BLINE | TASKS'!F9</f>
        <v>160408.98255776879</v>
      </c>
      <c r="G9" s="129">
        <f>G$10*'INPUT | BLINE | TASKS'!G9</f>
        <v>84934.426329455338</v>
      </c>
      <c r="H9" s="129">
        <f>H$10*'INPUT | BLINE | TASKS'!H9</f>
        <v>71502.661739291303</v>
      </c>
      <c r="I9" s="133">
        <f t="shared" si="1"/>
        <v>1398355.0186794901</v>
      </c>
      <c r="K9" s="2" t="s">
        <v>42</v>
      </c>
      <c r="L9" s="133">
        <f>L$10*'INPUT | BLINE | TASKS'!L9</f>
        <v>0</v>
      </c>
      <c r="M9" s="129">
        <f>M$10*'INPUT | BLINE | TASKS'!M9</f>
        <v>761893.1799410372</v>
      </c>
      <c r="N9" s="129">
        <f>N$10*'INPUT | BLINE | TASKS'!N9</f>
        <v>319615.7681119375</v>
      </c>
      <c r="O9" s="129">
        <f>O$10*'INPUT | BLINE | TASKS'!O9</f>
        <v>160408.98255776879</v>
      </c>
      <c r="P9" s="129">
        <f>P$10*'INPUT | BLINE | TASKS'!P9</f>
        <v>84934.426329455338</v>
      </c>
      <c r="Q9" s="129">
        <f>Q$10*'INPUT | BLINE | TASKS'!Q9</f>
        <v>71502.661739291303</v>
      </c>
      <c r="R9" s="133">
        <f t="shared" si="2"/>
        <v>1398355.0186794901</v>
      </c>
      <c r="T9" s="139" t="s">
        <v>42</v>
      </c>
      <c r="U9" s="136">
        <f t="shared" ref="U9:AA9" si="5">C9+L9+C19+L19</f>
        <v>0</v>
      </c>
      <c r="V9" s="138">
        <f t="shared" si="5"/>
        <v>3047572.7197641488</v>
      </c>
      <c r="W9" s="138">
        <f t="shared" si="5"/>
        <v>1278463.07244775</v>
      </c>
      <c r="X9" s="138">
        <f t="shared" si="5"/>
        <v>641635.93023107515</v>
      </c>
      <c r="Y9" s="138">
        <f t="shared" si="5"/>
        <v>339737.70531782135</v>
      </c>
      <c r="Z9" s="138">
        <f t="shared" si="5"/>
        <v>286010.64695716521</v>
      </c>
      <c r="AA9" s="136">
        <f t="shared" si="5"/>
        <v>5593420.0747179603</v>
      </c>
    </row>
    <row r="10" spans="2:27" x14ac:dyDescent="0.25">
      <c r="B10" s="94" t="s">
        <v>30</v>
      </c>
      <c r="C10" s="131">
        <f>C$28</f>
        <v>0</v>
      </c>
      <c r="D10" s="132">
        <f t="shared" ref="D10:H10" si="6">D$28</f>
        <v>5009447.6581123201</v>
      </c>
      <c r="E10" s="132">
        <f t="shared" si="6"/>
        <v>1768950.3473579925</v>
      </c>
      <c r="F10" s="132">
        <f t="shared" si="6"/>
        <v>689574.24685753486</v>
      </c>
      <c r="G10" s="132">
        <f t="shared" si="6"/>
        <v>409229.50867828488</v>
      </c>
      <c r="H10" s="132">
        <f t="shared" si="6"/>
        <v>429015.97043574788</v>
      </c>
      <c r="I10" s="131">
        <f t="shared" si="1"/>
        <v>8306217.7314418806</v>
      </c>
      <c r="K10" s="94" t="s">
        <v>30</v>
      </c>
      <c r="L10" s="131">
        <f>C$29</f>
        <v>0</v>
      </c>
      <c r="M10" s="132">
        <f t="shared" ref="M10:Q10" si="7">D$29</f>
        <v>5009447.6581123201</v>
      </c>
      <c r="N10" s="132">
        <f t="shared" si="7"/>
        <v>1768950.3473579925</v>
      </c>
      <c r="O10" s="132">
        <f t="shared" si="7"/>
        <v>689574.24685753486</v>
      </c>
      <c r="P10" s="132">
        <f t="shared" si="7"/>
        <v>409229.50867828488</v>
      </c>
      <c r="Q10" s="132">
        <f t="shared" si="7"/>
        <v>429015.97043574788</v>
      </c>
      <c r="R10" s="131">
        <f t="shared" si="2"/>
        <v>8306217.7314418806</v>
      </c>
      <c r="T10" s="117" t="s">
        <v>30</v>
      </c>
      <c r="U10" s="134">
        <f t="shared" ref="U10:AA10" si="8">C10+L10+C20+L20</f>
        <v>0</v>
      </c>
      <c r="V10" s="135">
        <f t="shared" si="8"/>
        <v>20037790.63244928</v>
      </c>
      <c r="W10" s="135">
        <f t="shared" si="8"/>
        <v>7075801.3894319702</v>
      </c>
      <c r="X10" s="135">
        <f t="shared" si="8"/>
        <v>2758296.9874301394</v>
      </c>
      <c r="Y10" s="135">
        <f t="shared" si="8"/>
        <v>1636918.0347131395</v>
      </c>
      <c r="Z10" s="135">
        <f t="shared" si="8"/>
        <v>1716063.8817429915</v>
      </c>
      <c r="AA10" s="134">
        <f t="shared" si="8"/>
        <v>33224870.925767522</v>
      </c>
    </row>
    <row r="12" spans="2:27" x14ac:dyDescent="0.25">
      <c r="B12" s="204" t="s">
        <v>48</v>
      </c>
      <c r="C12" s="204"/>
      <c r="D12" s="204"/>
      <c r="E12" s="204"/>
      <c r="F12" s="204"/>
      <c r="G12" s="204"/>
      <c r="H12" s="204"/>
      <c r="I12" s="204"/>
      <c r="K12" s="212" t="s">
        <v>49</v>
      </c>
      <c r="L12" s="212"/>
      <c r="M12" s="212"/>
      <c r="N12" s="212"/>
      <c r="O12" s="212"/>
      <c r="P12" s="212"/>
      <c r="Q12" s="212"/>
      <c r="R12" s="212"/>
      <c r="AA12" s="1"/>
    </row>
    <row r="14" spans="2:27" x14ac:dyDescent="0.25">
      <c r="C14" s="213" t="s">
        <v>56</v>
      </c>
      <c r="D14" s="214"/>
      <c r="E14" s="214"/>
      <c r="F14" s="214"/>
      <c r="G14" s="214"/>
      <c r="H14" s="214"/>
      <c r="I14" s="214"/>
      <c r="L14" s="215" t="s">
        <v>56</v>
      </c>
      <c r="M14" s="216"/>
      <c r="N14" s="216"/>
      <c r="O14" s="216"/>
      <c r="P14" s="216"/>
      <c r="Q14" s="216"/>
      <c r="R14" s="216"/>
    </row>
    <row r="15" spans="2:27"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27" x14ac:dyDescent="0.25">
      <c r="B16" s="106" t="s">
        <v>41</v>
      </c>
      <c r="C16" s="133">
        <f>C$20*'INPUT | BLINE | TASKS'!C16</f>
        <v>0</v>
      </c>
      <c r="D16" s="129">
        <f>D$20*'INPUT | BLINE | TASKS'!D16</f>
        <v>1904732.949852593</v>
      </c>
      <c r="E16" s="129">
        <f>E$20*'INPUT | BLINE | TASKS'!E16</f>
        <v>586372.00534382381</v>
      </c>
      <c r="F16" s="129">
        <f>F$20*'INPUT | BLINE | TASKS'!F16</f>
        <v>232316.45749745824</v>
      </c>
      <c r="G16" s="129">
        <f>G$20*'INPUT | BLINE | TASKS'!G16</f>
        <v>95229.508308783275</v>
      </c>
      <c r="H16" s="129">
        <f>H$20*'INPUT | BLINE | TASKS'!H16</f>
        <v>116191.82532634838</v>
      </c>
      <c r="I16" s="133">
        <f>SUM(C16:H16)</f>
        <v>2934842.7463290067</v>
      </c>
      <c r="K16" s="106" t="s">
        <v>41</v>
      </c>
      <c r="L16" s="133">
        <f>L$20*'INPUT | BLINE | TASKS'!L16</f>
        <v>0</v>
      </c>
      <c r="M16" s="129">
        <f>M$20*'INPUT | BLINE | TASKS'!M16</f>
        <v>1904732.949852593</v>
      </c>
      <c r="N16" s="129">
        <f>N$20*'INPUT | BLINE | TASKS'!N16</f>
        <v>586372.00534382381</v>
      </c>
      <c r="O16" s="129">
        <f>O$20*'INPUT | BLINE | TASKS'!O16</f>
        <v>232316.45749745824</v>
      </c>
      <c r="P16" s="129">
        <f>P$20*'INPUT | BLINE | TASKS'!P16</f>
        <v>95229.508308783275</v>
      </c>
      <c r="Q16" s="129">
        <f>Q$20*'INPUT | BLINE | TASKS'!Q16</f>
        <v>116191.82532634838</v>
      </c>
      <c r="R16" s="133">
        <f>SUM(L16:Q16)</f>
        <v>2934842.7463290067</v>
      </c>
    </row>
    <row r="17" spans="2:18" x14ac:dyDescent="0.25">
      <c r="B17" s="2" t="s">
        <v>39</v>
      </c>
      <c r="C17" s="133">
        <f>C$20*'INPUT | BLINE | TASKS'!C17</f>
        <v>0</v>
      </c>
      <c r="D17" s="129">
        <f>D$20*'INPUT | BLINE | TASKS'!D17</f>
        <v>1223790.9202802912</v>
      </c>
      <c r="E17" s="129">
        <f>E$20*'INPUT | BLINE | TASKS'!E17</f>
        <v>559327.59419589059</v>
      </c>
      <c r="F17" s="129">
        <f>F$20*'INPUT | BLINE | TASKS'!F17</f>
        <v>191753.26650583855</v>
      </c>
      <c r="G17" s="129">
        <f>G$20*'INPUT | BLINE | TASKS'!G17</f>
        <v>149278.68870025486</v>
      </c>
      <c r="H17" s="129">
        <f>H$20*'INPUT | BLINE | TASKS'!H17</f>
        <v>160880.98891340542</v>
      </c>
      <c r="I17" s="133">
        <f t="shared" ref="I17:I20" si="9">SUM(C17:H17)</f>
        <v>2285031.4585956805</v>
      </c>
      <c r="K17" s="2" t="s">
        <v>39</v>
      </c>
      <c r="L17" s="133">
        <f>L$20*'INPUT | BLINE | TASKS'!L17</f>
        <v>0</v>
      </c>
      <c r="M17" s="129">
        <f>M$20*'INPUT | BLINE | TASKS'!M17</f>
        <v>1223790.9202802912</v>
      </c>
      <c r="N17" s="129">
        <f>N$20*'INPUT | BLINE | TASKS'!N17</f>
        <v>559327.59419589059</v>
      </c>
      <c r="O17" s="129">
        <f>O$20*'INPUT | BLINE | TASKS'!O17</f>
        <v>191753.26650583855</v>
      </c>
      <c r="P17" s="129">
        <f>P$20*'INPUT | BLINE | TASKS'!P17</f>
        <v>149278.68870025486</v>
      </c>
      <c r="Q17" s="129">
        <f>Q$20*'INPUT | BLINE | TASKS'!Q17</f>
        <v>160880.98891340542</v>
      </c>
      <c r="R17" s="133">
        <f t="shared" ref="R17:R20" si="10">SUM(L17:Q17)</f>
        <v>2285031.4585956805</v>
      </c>
    </row>
    <row r="18" spans="2:18" x14ac:dyDescent="0.25">
      <c r="B18" s="2" t="s">
        <v>40</v>
      </c>
      <c r="C18" s="133">
        <f>C$20*'INPUT | BLINE | TASKS'!C18</f>
        <v>0</v>
      </c>
      <c r="D18" s="129">
        <f>D$20*'INPUT | BLINE | TASKS'!D18</f>
        <v>1119030.6080383984</v>
      </c>
      <c r="E18" s="129">
        <f>E$20*'INPUT | BLINE | TASKS'!E18</f>
        <v>303634.97970634064</v>
      </c>
      <c r="F18" s="129">
        <f>F$20*'INPUT | BLINE | TASKS'!F18</f>
        <v>105095.54029646922</v>
      </c>
      <c r="G18" s="129">
        <f>G$20*'INPUT | BLINE | TASKS'!G18</f>
        <v>79786.885339791392</v>
      </c>
      <c r="H18" s="129">
        <f>H$20*'INPUT | BLINE | TASKS'!H18</f>
        <v>80440.494456702712</v>
      </c>
      <c r="I18" s="133">
        <f t="shared" si="9"/>
        <v>1687988.5078377023</v>
      </c>
      <c r="K18" s="2" t="s">
        <v>40</v>
      </c>
      <c r="L18" s="133">
        <f>L$20*'INPUT | BLINE | TASKS'!L18</f>
        <v>0</v>
      </c>
      <c r="M18" s="129">
        <f>M$20*'INPUT | BLINE | TASKS'!M18</f>
        <v>1119030.6080383984</v>
      </c>
      <c r="N18" s="129">
        <f>N$20*'INPUT | BLINE | TASKS'!N18</f>
        <v>303634.97970634064</v>
      </c>
      <c r="O18" s="129">
        <f>O$20*'INPUT | BLINE | TASKS'!O18</f>
        <v>105095.54029646922</v>
      </c>
      <c r="P18" s="129">
        <f>P$20*'INPUT | BLINE | TASKS'!P18</f>
        <v>79786.885339791392</v>
      </c>
      <c r="Q18" s="129">
        <f>Q$20*'INPUT | BLINE | TASKS'!Q18</f>
        <v>80440.494456702712</v>
      </c>
      <c r="R18" s="133">
        <f t="shared" si="10"/>
        <v>1687988.5078377023</v>
      </c>
    </row>
    <row r="19" spans="2:18" x14ac:dyDescent="0.25">
      <c r="B19" s="2" t="s">
        <v>42</v>
      </c>
      <c r="C19" s="133">
        <f>C$20*'INPUT | BLINE | TASKS'!C19</f>
        <v>0</v>
      </c>
      <c r="D19" s="129">
        <f>D$20*'INPUT | BLINE | TASKS'!D19</f>
        <v>761893.1799410372</v>
      </c>
      <c r="E19" s="129">
        <f>E$20*'INPUT | BLINE | TASKS'!E19</f>
        <v>319615.7681119375</v>
      </c>
      <c r="F19" s="129">
        <f>F$20*'INPUT | BLINE | TASKS'!F19</f>
        <v>160408.98255776879</v>
      </c>
      <c r="G19" s="129">
        <f>G$20*'INPUT | BLINE | TASKS'!G19</f>
        <v>84934.426329455338</v>
      </c>
      <c r="H19" s="129">
        <f>H$20*'INPUT | BLINE | TASKS'!H19</f>
        <v>71502.661739291303</v>
      </c>
      <c r="I19" s="133">
        <f t="shared" si="9"/>
        <v>1398355.0186794901</v>
      </c>
      <c r="K19" s="2" t="s">
        <v>42</v>
      </c>
      <c r="L19" s="133">
        <f>L$20*'INPUT | BLINE | TASKS'!L19</f>
        <v>0</v>
      </c>
      <c r="M19" s="129">
        <f>M$20*'INPUT | BLINE | TASKS'!M19</f>
        <v>761893.1799410372</v>
      </c>
      <c r="N19" s="129">
        <f>N$20*'INPUT | BLINE | TASKS'!N19</f>
        <v>319615.7681119375</v>
      </c>
      <c r="O19" s="129">
        <f>O$20*'INPUT | BLINE | TASKS'!O19</f>
        <v>160408.98255776879</v>
      </c>
      <c r="P19" s="129">
        <f>P$20*'INPUT | BLINE | TASKS'!P19</f>
        <v>84934.426329455338</v>
      </c>
      <c r="Q19" s="129">
        <f>Q$20*'INPUT | BLINE | TASKS'!Q19</f>
        <v>71502.661739291303</v>
      </c>
      <c r="R19" s="133">
        <f t="shared" si="10"/>
        <v>1398355.0186794901</v>
      </c>
    </row>
    <row r="20" spans="2:18" x14ac:dyDescent="0.25">
      <c r="B20" s="94" t="s">
        <v>30</v>
      </c>
      <c r="C20" s="131">
        <f>C$30</f>
        <v>0</v>
      </c>
      <c r="D20" s="132">
        <f t="shared" ref="D20:H20" si="11">D$30</f>
        <v>5009447.6581123201</v>
      </c>
      <c r="E20" s="132">
        <f t="shared" si="11"/>
        <v>1768950.3473579925</v>
      </c>
      <c r="F20" s="132">
        <f t="shared" si="11"/>
        <v>689574.24685753486</v>
      </c>
      <c r="G20" s="132">
        <f t="shared" si="11"/>
        <v>409229.50867828488</v>
      </c>
      <c r="H20" s="132">
        <f t="shared" si="11"/>
        <v>429015.97043574788</v>
      </c>
      <c r="I20" s="131">
        <f t="shared" si="9"/>
        <v>8306217.7314418806</v>
      </c>
      <c r="K20" s="94" t="s">
        <v>30</v>
      </c>
      <c r="L20" s="131">
        <f>C$31</f>
        <v>0</v>
      </c>
      <c r="M20" s="132">
        <f t="shared" ref="M20:Q20" si="12">D$31</f>
        <v>5009447.6581123201</v>
      </c>
      <c r="N20" s="132">
        <f t="shared" si="12"/>
        <v>1768950.3473579925</v>
      </c>
      <c r="O20" s="132">
        <f t="shared" si="12"/>
        <v>689574.24685753486</v>
      </c>
      <c r="P20" s="132">
        <f t="shared" si="12"/>
        <v>409229.50867828488</v>
      </c>
      <c r="Q20" s="132">
        <f t="shared" si="12"/>
        <v>429015.97043574788</v>
      </c>
      <c r="R20" s="131">
        <f t="shared" si="10"/>
        <v>8306217.7314418806</v>
      </c>
    </row>
    <row r="21" spans="2:18" x14ac:dyDescent="0.25">
      <c r="B21" s="66"/>
      <c r="C21" s="107"/>
      <c r="D21" s="107"/>
      <c r="E21" s="107"/>
      <c r="F21" s="107"/>
      <c r="G21" s="107"/>
      <c r="H21" s="107"/>
      <c r="I21" s="107"/>
      <c r="K21" s="66"/>
      <c r="L21" s="107"/>
      <c r="M21" s="107"/>
      <c r="N21" s="107"/>
      <c r="O21" s="107"/>
      <c r="P21" s="107"/>
      <c r="Q21" s="107"/>
      <c r="R21" s="107"/>
    </row>
    <row r="22" spans="2:18" x14ac:dyDescent="0.25">
      <c r="B22" s="66"/>
      <c r="C22" s="107"/>
      <c r="D22" s="107"/>
      <c r="E22" s="107"/>
      <c r="F22" s="107"/>
      <c r="G22" s="107"/>
      <c r="H22" s="107"/>
      <c r="I22" s="107"/>
      <c r="K22" s="66"/>
      <c r="L22" s="107"/>
      <c r="M22" s="107"/>
      <c r="N22" s="107"/>
      <c r="O22" s="107"/>
      <c r="P22" s="107"/>
      <c r="Q22" s="107"/>
      <c r="R22" s="107"/>
    </row>
    <row r="24" spans="2:18" x14ac:dyDescent="0.25">
      <c r="B24" s="210" t="s">
        <v>54</v>
      </c>
      <c r="C24" s="210"/>
      <c r="D24" s="210"/>
      <c r="E24" s="210"/>
      <c r="F24" s="210"/>
      <c r="G24" s="210"/>
      <c r="H24" s="210"/>
      <c r="K24" s="210" t="s">
        <v>55</v>
      </c>
      <c r="L24" s="210"/>
      <c r="M24" s="210"/>
      <c r="N24" s="210"/>
      <c r="O24" s="210"/>
      <c r="P24" s="210"/>
      <c r="Q24" s="210"/>
    </row>
    <row r="26" spans="2:18" x14ac:dyDescent="0.25">
      <c r="C26" s="211" t="s">
        <v>56</v>
      </c>
      <c r="D26" s="210"/>
      <c r="E26" s="210"/>
      <c r="F26" s="210"/>
      <c r="G26" s="210"/>
      <c r="H26" s="210"/>
      <c r="L26" s="211" t="s">
        <v>56</v>
      </c>
      <c r="M26" s="210"/>
      <c r="N26" s="210"/>
      <c r="O26" s="210"/>
      <c r="P26" s="210"/>
      <c r="Q26" s="210"/>
    </row>
    <row r="27" spans="2:18" x14ac:dyDescent="0.25">
      <c r="B27" s="84" t="s">
        <v>50</v>
      </c>
      <c r="C27" s="81" t="s">
        <v>45</v>
      </c>
      <c r="D27" s="82" t="s">
        <v>21</v>
      </c>
      <c r="E27" s="82" t="s">
        <v>22</v>
      </c>
      <c r="F27" s="82" t="s">
        <v>23</v>
      </c>
      <c r="G27" s="82" t="s">
        <v>24</v>
      </c>
      <c r="H27" s="83" t="s">
        <v>25</v>
      </c>
      <c r="K27" s="84" t="s">
        <v>50</v>
      </c>
      <c r="L27" s="81" t="s">
        <v>45</v>
      </c>
      <c r="M27" s="82" t="s">
        <v>21</v>
      </c>
      <c r="N27" s="82" t="s">
        <v>22</v>
      </c>
      <c r="O27" s="82" t="s">
        <v>23</v>
      </c>
      <c r="P27" s="82" t="s">
        <v>24</v>
      </c>
      <c r="Q27" s="83" t="s">
        <v>25</v>
      </c>
    </row>
    <row r="28" spans="2:18" x14ac:dyDescent="0.25">
      <c r="B28" s="13" t="s">
        <v>16</v>
      </c>
      <c r="C28" s="125">
        <f>L$32*'INPUT | BLINE | TASKS'!C28</f>
        <v>0</v>
      </c>
      <c r="D28" s="128">
        <f>M$32*'INPUT | BLINE | TASKS'!D28</f>
        <v>5009447.6581123201</v>
      </c>
      <c r="E28" s="128">
        <f>N$32*'INPUT | BLINE | TASKS'!E28</f>
        <v>1768950.3473579925</v>
      </c>
      <c r="F28" s="128">
        <f>O$32*'INPUT | BLINE | TASKS'!F28</f>
        <v>689574.24685753486</v>
      </c>
      <c r="G28" s="128">
        <f>P$32*'INPUT | BLINE | TASKS'!G28</f>
        <v>409229.50867828488</v>
      </c>
      <c r="H28" s="128">
        <f>Q$32*'INPUT | BLINE | TASKS'!H28</f>
        <v>429015.97043574788</v>
      </c>
      <c r="K28" s="2" t="s">
        <v>51</v>
      </c>
      <c r="L28" s="74">
        <v>44</v>
      </c>
      <c r="M28" s="75">
        <v>44</v>
      </c>
      <c r="N28" s="75">
        <v>44</v>
      </c>
      <c r="O28" s="75">
        <v>44</v>
      </c>
      <c r="P28" s="75">
        <v>44</v>
      </c>
      <c r="Q28" s="75">
        <v>44</v>
      </c>
    </row>
    <row r="29" spans="2:18" x14ac:dyDescent="0.25">
      <c r="B29" s="18" t="s">
        <v>17</v>
      </c>
      <c r="C29" s="126">
        <f>L$32*'INPUT | BLINE | TASKS'!C29</f>
        <v>0</v>
      </c>
      <c r="D29" s="129">
        <f>M$32*'INPUT | BLINE | TASKS'!D29</f>
        <v>5009447.6581123201</v>
      </c>
      <c r="E29" s="129">
        <f>N$32*'INPUT | BLINE | TASKS'!E29</f>
        <v>1768950.3473579925</v>
      </c>
      <c r="F29" s="129">
        <f>O$32*'INPUT | BLINE | TASKS'!F29</f>
        <v>689574.24685753486</v>
      </c>
      <c r="G29" s="129">
        <f>P$32*'INPUT | BLINE | TASKS'!G29</f>
        <v>409229.50867828488</v>
      </c>
      <c r="H29" s="129">
        <f>Q$32*'INPUT | BLINE | TASKS'!H29</f>
        <v>429015.97043574788</v>
      </c>
      <c r="K29" s="2" t="s">
        <v>52</v>
      </c>
      <c r="L29" s="76">
        <v>37.5</v>
      </c>
      <c r="M29" s="77">
        <v>37.5</v>
      </c>
      <c r="N29" s="77">
        <v>37.5</v>
      </c>
      <c r="O29" s="77">
        <v>37.5</v>
      </c>
      <c r="P29" s="77">
        <v>37.5</v>
      </c>
      <c r="Q29" s="77">
        <v>37.5</v>
      </c>
    </row>
    <row r="30" spans="2:18" x14ac:dyDescent="0.25">
      <c r="B30" s="19" t="s">
        <v>18</v>
      </c>
      <c r="C30" s="126">
        <f>L$32*'INPUT | BLINE | TASKS'!C30</f>
        <v>0</v>
      </c>
      <c r="D30" s="129">
        <f>M$32*'INPUT | BLINE | TASKS'!D30</f>
        <v>5009447.6581123201</v>
      </c>
      <c r="E30" s="129">
        <f>N$32*'INPUT | BLINE | TASKS'!E30</f>
        <v>1768950.3473579925</v>
      </c>
      <c r="F30" s="129">
        <f>O$32*'INPUT | BLINE | TASKS'!F30</f>
        <v>689574.24685753486</v>
      </c>
      <c r="G30" s="129">
        <f>P$32*'INPUT | BLINE | TASKS'!G30</f>
        <v>409229.50867828488</v>
      </c>
      <c r="H30" s="129">
        <f>Q$32*'INPUT | BLINE | TASKS'!H30</f>
        <v>429015.97043574788</v>
      </c>
      <c r="K30" s="182" t="s">
        <v>57</v>
      </c>
      <c r="L30" s="183">
        <f>L28*L29</f>
        <v>1650</v>
      </c>
      <c r="M30" s="184">
        <f t="shared" ref="M30:Q30" si="13">M28*M29</f>
        <v>1650</v>
      </c>
      <c r="N30" s="184">
        <f t="shared" si="13"/>
        <v>1650</v>
      </c>
      <c r="O30" s="184">
        <f t="shared" si="13"/>
        <v>1650</v>
      </c>
      <c r="P30" s="184">
        <f t="shared" si="13"/>
        <v>1650</v>
      </c>
      <c r="Q30" s="184">
        <f t="shared" si="13"/>
        <v>1650</v>
      </c>
    </row>
    <row r="31" spans="2:18" x14ac:dyDescent="0.25">
      <c r="B31" s="20" t="s">
        <v>19</v>
      </c>
      <c r="C31" s="127">
        <f>L$32*'INPUT | BLINE | TASKS'!C31</f>
        <v>0</v>
      </c>
      <c r="D31" s="130">
        <f>M$32*'INPUT | BLINE | TASKS'!D31</f>
        <v>5009447.6581123201</v>
      </c>
      <c r="E31" s="130">
        <f>N$32*'INPUT | BLINE | TASKS'!E31</f>
        <v>1768950.3473579925</v>
      </c>
      <c r="F31" s="130">
        <f>O$32*'INPUT | BLINE | TASKS'!F31</f>
        <v>689574.24685753486</v>
      </c>
      <c r="G31" s="130">
        <f>P$32*'INPUT | BLINE | TASKS'!G31</f>
        <v>409229.50867828488</v>
      </c>
      <c r="H31" s="130">
        <f>Q$32*'INPUT | BLINE | TASKS'!H31</f>
        <v>429015.97043574788</v>
      </c>
      <c r="K31" s="120" t="s">
        <v>1</v>
      </c>
      <c r="L31" s="121">
        <f>SUMIF('INPUT | WORKFORCE'!$D:$D,'CALC | BLINE | HOURS'!L$27,'INPUT | WORKFORCE'!$E:$E)</f>
        <v>0</v>
      </c>
      <c r="M31" s="122">
        <f>SUMIF('INPUT | WORKFORCE'!$D:$D,'CALC | BLINE | HOURS'!M$27,'INPUT | WORKFORCE'!$E:$E)</f>
        <v>12144.115534817745</v>
      </c>
      <c r="N31" s="122">
        <f>SUMIF('INPUT | WORKFORCE'!$D:$D,'CALC | BLINE | HOURS'!N$27,'INPUT | WORKFORCE'!$E:$E)</f>
        <v>4288.3644784436183</v>
      </c>
      <c r="O31" s="122">
        <f>SUMIF('INPUT | WORKFORCE'!$D:$D,'CALC | BLINE | HOURS'!O$27,'INPUT | WORKFORCE'!$E:$E)</f>
        <v>1671.6951438970541</v>
      </c>
      <c r="P31" s="122">
        <f>SUMIF('INPUT | WORKFORCE'!$D:$D,'CALC | BLINE | HOURS'!P$27,'INPUT | WORKFORCE'!$E:$E)</f>
        <v>992.07153618978157</v>
      </c>
      <c r="Q31" s="122">
        <f>SUMIF('INPUT | WORKFORCE'!$D:$D,'CALC | BLINE | HOURS'!Q$27,'INPUT | WORKFORCE'!$E:$E)</f>
        <v>1040.0387162078737</v>
      </c>
    </row>
    <row r="32" spans="2:18" x14ac:dyDescent="0.25">
      <c r="B32" s="71" t="s">
        <v>30</v>
      </c>
      <c r="C32" s="123">
        <f>SUM(C28:C31)</f>
        <v>0</v>
      </c>
      <c r="D32" s="124">
        <f t="shared" ref="D32:H32" si="14">SUM(D28:D31)</f>
        <v>20037790.63244928</v>
      </c>
      <c r="E32" s="124">
        <f t="shared" si="14"/>
        <v>7075801.3894319702</v>
      </c>
      <c r="F32" s="124">
        <f t="shared" si="14"/>
        <v>2758296.9874301394</v>
      </c>
      <c r="G32" s="124">
        <f t="shared" si="14"/>
        <v>1636918.0347131395</v>
      </c>
      <c r="H32" s="124">
        <f t="shared" si="14"/>
        <v>1716063.8817429915</v>
      </c>
      <c r="K32" s="71" t="s">
        <v>30</v>
      </c>
      <c r="L32" s="123">
        <f>L30*L31</f>
        <v>0</v>
      </c>
      <c r="M32" s="124">
        <f t="shared" ref="M32:Q32" si="15">M30*M31</f>
        <v>20037790.63244928</v>
      </c>
      <c r="N32" s="124">
        <f t="shared" si="15"/>
        <v>7075801.3894319702</v>
      </c>
      <c r="O32" s="124">
        <f t="shared" si="15"/>
        <v>2758296.9874301394</v>
      </c>
      <c r="P32" s="124">
        <f t="shared" si="15"/>
        <v>1636918.0347131395</v>
      </c>
      <c r="Q32" s="124">
        <f t="shared" si="15"/>
        <v>1716063.8817429915</v>
      </c>
    </row>
  </sheetData>
  <mergeCells count="14">
    <mergeCell ref="B2:I2"/>
    <mergeCell ref="K2:R2"/>
    <mergeCell ref="T2:AA2"/>
    <mergeCell ref="C4:I4"/>
    <mergeCell ref="L4:R4"/>
    <mergeCell ref="U4:AA4"/>
    <mergeCell ref="C26:H26"/>
    <mergeCell ref="L26:Q26"/>
    <mergeCell ref="B12:I12"/>
    <mergeCell ref="K12:R12"/>
    <mergeCell ref="C14:I14"/>
    <mergeCell ref="L14:R14"/>
    <mergeCell ref="B24:H24"/>
    <mergeCell ref="K24:Q2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0D24-BD77-4484-A42F-8D6E7BE96E41}">
  <sheetPr>
    <tabColor theme="1"/>
  </sheetPr>
  <dimension ref="B2:AA32"/>
  <sheetViews>
    <sheetView topLeftCell="B1" workbookViewId="0">
      <selection activeCell="R27" sqref="R27:R32"/>
    </sheetView>
  </sheetViews>
  <sheetFormatPr defaultRowHeight="15" x14ac:dyDescent="0.25"/>
  <cols>
    <col min="1" max="1" width="2.7109375" style="2" customWidth="1"/>
    <col min="2" max="2" width="39.42578125" style="2" bestFit="1" customWidth="1"/>
    <col min="3" max="8" width="9.140625" style="2"/>
    <col min="9" max="9" width="11.140625" style="2" bestFit="1" customWidth="1"/>
    <col min="10" max="10" width="2.7109375" style="2" customWidth="1"/>
    <col min="11" max="11" width="39.42578125" style="2" bestFit="1" customWidth="1"/>
    <col min="12" max="18" width="9.140625" style="2"/>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217" t="s">
        <v>46</v>
      </c>
      <c r="C2" s="217"/>
      <c r="D2" s="217"/>
      <c r="E2" s="217"/>
      <c r="F2" s="217"/>
      <c r="G2" s="217"/>
      <c r="H2" s="217"/>
      <c r="I2" s="217"/>
      <c r="K2" s="218" t="s">
        <v>47</v>
      </c>
      <c r="L2" s="218"/>
      <c r="M2" s="218"/>
      <c r="N2" s="218"/>
      <c r="O2" s="218"/>
      <c r="P2" s="218"/>
      <c r="Q2" s="218"/>
      <c r="R2" s="218"/>
      <c r="T2" s="219" t="s">
        <v>53</v>
      </c>
      <c r="U2" s="219"/>
      <c r="V2" s="219"/>
      <c r="W2" s="219"/>
      <c r="X2" s="219"/>
      <c r="Y2" s="219"/>
      <c r="Z2" s="219"/>
      <c r="AA2" s="219"/>
    </row>
    <row r="3" spans="2:27" x14ac:dyDescent="0.25">
      <c r="T3" s="108"/>
      <c r="U3" s="108"/>
      <c r="V3" s="108"/>
      <c r="W3" s="108"/>
      <c r="X3" s="108"/>
      <c r="Y3" s="108"/>
      <c r="Z3" s="108"/>
      <c r="AA3" s="108"/>
    </row>
    <row r="4" spans="2:27" x14ac:dyDescent="0.25">
      <c r="C4" s="220" t="s">
        <v>56</v>
      </c>
      <c r="D4" s="221"/>
      <c r="E4" s="221"/>
      <c r="F4" s="221"/>
      <c r="G4" s="221"/>
      <c r="H4" s="221"/>
      <c r="I4" s="221"/>
      <c r="L4" s="222" t="s">
        <v>56</v>
      </c>
      <c r="M4" s="223"/>
      <c r="N4" s="223"/>
      <c r="O4" s="223"/>
      <c r="P4" s="223"/>
      <c r="Q4" s="223"/>
      <c r="R4" s="223"/>
      <c r="T4" s="108"/>
      <c r="U4" s="224" t="s">
        <v>0</v>
      </c>
      <c r="V4" s="225"/>
      <c r="W4" s="225"/>
      <c r="X4" s="225"/>
      <c r="Y4" s="225"/>
      <c r="Z4" s="225"/>
      <c r="AA4" s="225"/>
    </row>
    <row r="5" spans="2:27"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c r="T5" s="113" t="s">
        <v>29</v>
      </c>
      <c r="U5" s="114" t="s">
        <v>45</v>
      </c>
      <c r="V5" s="115" t="s">
        <v>21</v>
      </c>
      <c r="W5" s="115" t="s">
        <v>22</v>
      </c>
      <c r="X5" s="115" t="s">
        <v>23</v>
      </c>
      <c r="Y5" s="115" t="s">
        <v>24</v>
      </c>
      <c r="Z5" s="115" t="s">
        <v>25</v>
      </c>
      <c r="AA5" s="116" t="s">
        <v>30</v>
      </c>
    </row>
    <row r="6" spans="2:27" x14ac:dyDescent="0.25">
      <c r="B6" s="106" t="s">
        <v>41</v>
      </c>
      <c r="C6" s="133">
        <f>C$10*'INPUT | FCAST | TASKS'!C6</f>
        <v>0</v>
      </c>
      <c r="D6" s="129">
        <f>D$10*'INPUT | FCAST | TASKS'!D6</f>
        <v>1904732.949852593</v>
      </c>
      <c r="E6" s="129">
        <f>E$10*'INPUT | FCAST | TASKS'!E6</f>
        <v>586372.00534382381</v>
      </c>
      <c r="F6" s="129">
        <f>F$10*'INPUT | FCAST | TASKS'!F6</f>
        <v>232316.45749745824</v>
      </c>
      <c r="G6" s="129">
        <f>G$10*'INPUT | FCAST | TASKS'!G6</f>
        <v>95229.508308783275</v>
      </c>
      <c r="H6" s="129">
        <f>H$10*'INPUT | FCAST | TASKS'!H6</f>
        <v>116191.82532634838</v>
      </c>
      <c r="I6" s="133">
        <f>SUM(C6:H6)</f>
        <v>2934842.7463290067</v>
      </c>
      <c r="K6" s="106" t="s">
        <v>41</v>
      </c>
      <c r="L6" s="133">
        <f>L$10*'INPUT | FCAST | TASKS'!L6</f>
        <v>0</v>
      </c>
      <c r="M6" s="129">
        <f>M$10*'INPUT | FCAST | TASKS'!M6</f>
        <v>1904732.949852593</v>
      </c>
      <c r="N6" s="129">
        <f>N$10*'INPUT | FCAST | TASKS'!N6</f>
        <v>586372.00534382381</v>
      </c>
      <c r="O6" s="129">
        <f>O$10*'INPUT | FCAST | TASKS'!O6</f>
        <v>232316.45749745824</v>
      </c>
      <c r="P6" s="129">
        <f>P$10*'INPUT | FCAST | TASKS'!P6</f>
        <v>95229.508308783275</v>
      </c>
      <c r="Q6" s="129">
        <f>Q$10*'INPUT | FCAST | TASKS'!Q6</f>
        <v>116191.82532634838</v>
      </c>
      <c r="R6" s="133">
        <f>SUM(L6:Q6)</f>
        <v>2934842.7463290067</v>
      </c>
      <c r="T6" s="137" t="s">
        <v>41</v>
      </c>
      <c r="U6" s="136">
        <f>C6+L6+C16+L16</f>
        <v>0</v>
      </c>
      <c r="V6" s="138">
        <f t="shared" ref="V6:AA6" si="0">D6+M6+D16+M16</f>
        <v>7618931.799410372</v>
      </c>
      <c r="W6" s="138">
        <f t="shared" si="0"/>
        <v>2345488.0213752952</v>
      </c>
      <c r="X6" s="138">
        <f t="shared" si="0"/>
        <v>929265.82998983294</v>
      </c>
      <c r="Y6" s="138">
        <f t="shared" si="0"/>
        <v>380918.0332351331</v>
      </c>
      <c r="Z6" s="138">
        <f t="shared" si="0"/>
        <v>464767.30130539351</v>
      </c>
      <c r="AA6" s="136">
        <f t="shared" si="0"/>
        <v>11739370.985316027</v>
      </c>
    </row>
    <row r="7" spans="2:27" x14ac:dyDescent="0.25">
      <c r="B7" s="2" t="s">
        <v>39</v>
      </c>
      <c r="C7" s="133">
        <f>C$10*'INPUT | FCAST | TASKS'!C7</f>
        <v>0</v>
      </c>
      <c r="D7" s="129">
        <f>D$10*'INPUT | FCAST | TASKS'!D7</f>
        <v>1223790.9202802912</v>
      </c>
      <c r="E7" s="129">
        <f>E$10*'INPUT | FCAST | TASKS'!E7</f>
        <v>559327.59419589059</v>
      </c>
      <c r="F7" s="129">
        <f>F$10*'INPUT | FCAST | TASKS'!F7</f>
        <v>191753.26650583855</v>
      </c>
      <c r="G7" s="129">
        <f>G$10*'INPUT | FCAST | TASKS'!G7</f>
        <v>149278.68870025486</v>
      </c>
      <c r="H7" s="129">
        <f>H$10*'INPUT | FCAST | TASKS'!H7</f>
        <v>160880.98891340542</v>
      </c>
      <c r="I7" s="133">
        <f t="shared" ref="I7:I10" si="1">SUM(C7:H7)</f>
        <v>2285031.4585956805</v>
      </c>
      <c r="K7" s="2" t="s">
        <v>39</v>
      </c>
      <c r="L7" s="133">
        <f>L$10*'INPUT | FCAST | TASKS'!L7</f>
        <v>0</v>
      </c>
      <c r="M7" s="129">
        <f>M$10*'INPUT | FCAST | TASKS'!M7</f>
        <v>1223790.9202802912</v>
      </c>
      <c r="N7" s="129">
        <f>N$10*'INPUT | FCAST | TASKS'!N7</f>
        <v>559327.59419589059</v>
      </c>
      <c r="O7" s="129">
        <f>O$10*'INPUT | FCAST | TASKS'!O7</f>
        <v>191753.26650583855</v>
      </c>
      <c r="P7" s="129">
        <f>P$10*'INPUT | FCAST | TASKS'!P7</f>
        <v>149278.68870025486</v>
      </c>
      <c r="Q7" s="129">
        <f>Q$10*'INPUT | FCAST | TASKS'!Q7</f>
        <v>160880.98891340542</v>
      </c>
      <c r="R7" s="133">
        <f t="shared" ref="R7:R10" si="2">SUM(L7:Q7)</f>
        <v>2285031.4585956805</v>
      </c>
      <c r="T7" s="139" t="s">
        <v>39</v>
      </c>
      <c r="U7" s="136">
        <f t="shared" ref="U7:AA10" si="3">C7+L7+C17+L17</f>
        <v>0</v>
      </c>
      <c r="V7" s="138">
        <f t="shared" si="3"/>
        <v>4895163.6811211649</v>
      </c>
      <c r="W7" s="138">
        <f t="shared" si="3"/>
        <v>2237310.3767835624</v>
      </c>
      <c r="X7" s="138">
        <f t="shared" si="3"/>
        <v>767013.06602335419</v>
      </c>
      <c r="Y7" s="138">
        <f t="shared" si="3"/>
        <v>597114.75480101944</v>
      </c>
      <c r="Z7" s="138">
        <f t="shared" si="3"/>
        <v>643523.9556536217</v>
      </c>
      <c r="AA7" s="136">
        <f t="shared" si="3"/>
        <v>9140125.8343827222</v>
      </c>
    </row>
    <row r="8" spans="2:27" x14ac:dyDescent="0.25">
      <c r="B8" s="2" t="s">
        <v>40</v>
      </c>
      <c r="C8" s="133">
        <f>C$10*'INPUT | FCAST | TASKS'!C8</f>
        <v>0</v>
      </c>
      <c r="D8" s="129">
        <f>D$10*'INPUT | FCAST | TASKS'!D8</f>
        <v>1119030.6080383984</v>
      </c>
      <c r="E8" s="129">
        <f>E$10*'INPUT | FCAST | TASKS'!E8</f>
        <v>303634.97970634064</v>
      </c>
      <c r="F8" s="129">
        <f>F$10*'INPUT | FCAST | TASKS'!F8</f>
        <v>105095.54029646922</v>
      </c>
      <c r="G8" s="129">
        <f>G$10*'INPUT | FCAST | TASKS'!G8</f>
        <v>79786.885339791392</v>
      </c>
      <c r="H8" s="129">
        <f>H$10*'INPUT | FCAST | TASKS'!H8</f>
        <v>80440.494456702712</v>
      </c>
      <c r="I8" s="133">
        <f t="shared" si="1"/>
        <v>1687988.5078377023</v>
      </c>
      <c r="K8" s="2" t="s">
        <v>40</v>
      </c>
      <c r="L8" s="133">
        <f>L$10*'INPUT | FCAST | TASKS'!L8</f>
        <v>0</v>
      </c>
      <c r="M8" s="129">
        <f>M$10*'INPUT | FCAST | TASKS'!M8</f>
        <v>1119030.6080383984</v>
      </c>
      <c r="N8" s="129">
        <f>N$10*'INPUT | FCAST | TASKS'!N8</f>
        <v>303634.97970634064</v>
      </c>
      <c r="O8" s="129">
        <f>O$10*'INPUT | FCAST | TASKS'!O8</f>
        <v>105095.54029646922</v>
      </c>
      <c r="P8" s="129">
        <f>P$10*'INPUT | FCAST | TASKS'!P8</f>
        <v>79786.885339791392</v>
      </c>
      <c r="Q8" s="129">
        <f>Q$10*'INPUT | FCAST | TASKS'!Q8</f>
        <v>80440.494456702712</v>
      </c>
      <c r="R8" s="133">
        <f t="shared" si="2"/>
        <v>1687988.5078377023</v>
      </c>
      <c r="T8" s="139" t="s">
        <v>40</v>
      </c>
      <c r="U8" s="136">
        <f t="shared" si="3"/>
        <v>0</v>
      </c>
      <c r="V8" s="138">
        <f t="shared" si="3"/>
        <v>4476122.4321535937</v>
      </c>
      <c r="W8" s="138">
        <f t="shared" si="3"/>
        <v>1214539.9188253626</v>
      </c>
      <c r="X8" s="138">
        <f t="shared" si="3"/>
        <v>420382.16118587687</v>
      </c>
      <c r="Y8" s="138">
        <f t="shared" si="3"/>
        <v>319147.54135916557</v>
      </c>
      <c r="Z8" s="138">
        <f t="shared" si="3"/>
        <v>321761.97782681085</v>
      </c>
      <c r="AA8" s="136">
        <f t="shared" si="3"/>
        <v>6751954.0313508091</v>
      </c>
    </row>
    <row r="9" spans="2:27" x14ac:dyDescent="0.25">
      <c r="B9" s="2" t="s">
        <v>42</v>
      </c>
      <c r="C9" s="133">
        <f>C$10*'INPUT | FCAST | TASKS'!C9</f>
        <v>0</v>
      </c>
      <c r="D9" s="129">
        <f>D$10*'INPUT | FCAST | TASKS'!D9</f>
        <v>761893.1799410372</v>
      </c>
      <c r="E9" s="129">
        <f>E$10*'INPUT | FCAST | TASKS'!E9</f>
        <v>319615.7681119375</v>
      </c>
      <c r="F9" s="129">
        <f>F$10*'INPUT | FCAST | TASKS'!F9</f>
        <v>160408.98255776879</v>
      </c>
      <c r="G9" s="129">
        <f>G$10*'INPUT | FCAST | TASKS'!G9</f>
        <v>84934.426329455338</v>
      </c>
      <c r="H9" s="129">
        <f>H$10*'INPUT | FCAST | TASKS'!H9</f>
        <v>71502.661739291303</v>
      </c>
      <c r="I9" s="133">
        <f t="shared" si="1"/>
        <v>1398355.0186794901</v>
      </c>
      <c r="K9" s="2" t="s">
        <v>42</v>
      </c>
      <c r="L9" s="133">
        <f>L$10*'INPUT | FCAST | TASKS'!L9</f>
        <v>0</v>
      </c>
      <c r="M9" s="129">
        <f>M$10*'INPUT | FCAST | TASKS'!M9</f>
        <v>761893.1799410372</v>
      </c>
      <c r="N9" s="129">
        <f>N$10*'INPUT | FCAST | TASKS'!N9</f>
        <v>319615.7681119375</v>
      </c>
      <c r="O9" s="129">
        <f>O$10*'INPUT | FCAST | TASKS'!O9</f>
        <v>160408.98255776879</v>
      </c>
      <c r="P9" s="129">
        <f>P$10*'INPUT | FCAST | TASKS'!P9</f>
        <v>84934.426329455338</v>
      </c>
      <c r="Q9" s="129">
        <f>Q$10*'INPUT | FCAST | TASKS'!Q9</f>
        <v>71502.661739291303</v>
      </c>
      <c r="R9" s="133">
        <f t="shared" si="2"/>
        <v>1398355.0186794901</v>
      </c>
      <c r="T9" s="139" t="s">
        <v>42</v>
      </c>
      <c r="U9" s="136">
        <f t="shared" si="3"/>
        <v>0</v>
      </c>
      <c r="V9" s="138">
        <f t="shared" si="3"/>
        <v>3047572.7197641488</v>
      </c>
      <c r="W9" s="138">
        <f t="shared" si="3"/>
        <v>1278463.07244775</v>
      </c>
      <c r="X9" s="138">
        <f t="shared" si="3"/>
        <v>641635.93023107515</v>
      </c>
      <c r="Y9" s="138">
        <f t="shared" si="3"/>
        <v>339737.70531782135</v>
      </c>
      <c r="Z9" s="138">
        <f t="shared" si="3"/>
        <v>286010.64695716521</v>
      </c>
      <c r="AA9" s="136">
        <f t="shared" si="3"/>
        <v>5593420.0747179603</v>
      </c>
    </row>
    <row r="10" spans="2:27" x14ac:dyDescent="0.25">
      <c r="B10" s="94" t="s">
        <v>30</v>
      </c>
      <c r="C10" s="131">
        <f>C$28</f>
        <v>0</v>
      </c>
      <c r="D10" s="132">
        <f t="shared" ref="D10:H10" si="4">D$28</f>
        <v>5009447.6581123201</v>
      </c>
      <c r="E10" s="132">
        <f t="shared" si="4"/>
        <v>1768950.3473579925</v>
      </c>
      <c r="F10" s="132">
        <f t="shared" si="4"/>
        <v>689574.24685753486</v>
      </c>
      <c r="G10" s="132">
        <f t="shared" si="4"/>
        <v>409229.50867828488</v>
      </c>
      <c r="H10" s="132">
        <f t="shared" si="4"/>
        <v>429015.97043574788</v>
      </c>
      <c r="I10" s="131">
        <f t="shared" si="1"/>
        <v>8306217.7314418806</v>
      </c>
      <c r="K10" s="94" t="s">
        <v>30</v>
      </c>
      <c r="L10" s="131">
        <f>C$29</f>
        <v>0</v>
      </c>
      <c r="M10" s="132">
        <f t="shared" ref="M10:Q10" si="5">D$29</f>
        <v>5009447.6581123201</v>
      </c>
      <c r="N10" s="132">
        <f t="shared" si="5"/>
        <v>1768950.3473579925</v>
      </c>
      <c r="O10" s="132">
        <f t="shared" si="5"/>
        <v>689574.24685753486</v>
      </c>
      <c r="P10" s="132">
        <f t="shared" si="5"/>
        <v>409229.50867828488</v>
      </c>
      <c r="Q10" s="132">
        <f t="shared" si="5"/>
        <v>429015.97043574788</v>
      </c>
      <c r="R10" s="131">
        <f t="shared" si="2"/>
        <v>8306217.7314418806</v>
      </c>
      <c r="T10" s="117" t="s">
        <v>30</v>
      </c>
      <c r="U10" s="134">
        <f t="shared" si="3"/>
        <v>0</v>
      </c>
      <c r="V10" s="135">
        <f t="shared" si="3"/>
        <v>20037790.63244928</v>
      </c>
      <c r="W10" s="135">
        <f t="shared" si="3"/>
        <v>7075801.3894319702</v>
      </c>
      <c r="X10" s="135">
        <f t="shared" si="3"/>
        <v>2758296.9874301394</v>
      </c>
      <c r="Y10" s="135">
        <f t="shared" si="3"/>
        <v>1636918.0347131395</v>
      </c>
      <c r="Z10" s="135">
        <f t="shared" si="3"/>
        <v>1716063.8817429915</v>
      </c>
      <c r="AA10" s="134">
        <f t="shared" si="3"/>
        <v>33224870.925767522</v>
      </c>
    </row>
    <row r="12" spans="2:27" x14ac:dyDescent="0.25">
      <c r="B12" s="204" t="s">
        <v>48</v>
      </c>
      <c r="C12" s="204"/>
      <c r="D12" s="204"/>
      <c r="E12" s="204"/>
      <c r="F12" s="204"/>
      <c r="G12" s="204"/>
      <c r="H12" s="204"/>
      <c r="I12" s="204"/>
      <c r="K12" s="212" t="s">
        <v>49</v>
      </c>
      <c r="L12" s="212"/>
      <c r="M12" s="212"/>
      <c r="N12" s="212"/>
      <c r="O12" s="212"/>
      <c r="P12" s="212"/>
      <c r="Q12" s="212"/>
      <c r="R12" s="212"/>
      <c r="AA12" s="1"/>
    </row>
    <row r="14" spans="2:27" x14ac:dyDescent="0.25">
      <c r="C14" s="213" t="s">
        <v>56</v>
      </c>
      <c r="D14" s="214"/>
      <c r="E14" s="214"/>
      <c r="F14" s="214"/>
      <c r="G14" s="214"/>
      <c r="H14" s="214"/>
      <c r="I14" s="214"/>
      <c r="L14" s="215" t="s">
        <v>56</v>
      </c>
      <c r="M14" s="216"/>
      <c r="N14" s="216"/>
      <c r="O14" s="216"/>
      <c r="P14" s="216"/>
      <c r="Q14" s="216"/>
      <c r="R14" s="216"/>
    </row>
    <row r="15" spans="2:27"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27" x14ac:dyDescent="0.25">
      <c r="B16" s="106" t="s">
        <v>41</v>
      </c>
      <c r="C16" s="133">
        <f>C$20*'INPUT | FCAST | TASKS'!C16</f>
        <v>0</v>
      </c>
      <c r="D16" s="129">
        <f>D$20*'INPUT | FCAST | TASKS'!D16</f>
        <v>1904732.949852593</v>
      </c>
      <c r="E16" s="129">
        <f>E$20*'INPUT | FCAST | TASKS'!E16</f>
        <v>586372.00534382381</v>
      </c>
      <c r="F16" s="129">
        <f>F$20*'INPUT | FCAST | TASKS'!F16</f>
        <v>232316.45749745824</v>
      </c>
      <c r="G16" s="129">
        <f>G$20*'INPUT | FCAST | TASKS'!G16</f>
        <v>95229.508308783275</v>
      </c>
      <c r="H16" s="129">
        <f>H$20*'INPUT | FCAST | TASKS'!H16</f>
        <v>116191.82532634838</v>
      </c>
      <c r="I16" s="133">
        <f>SUM(C16:H16)</f>
        <v>2934842.7463290067</v>
      </c>
      <c r="K16" s="106" t="s">
        <v>41</v>
      </c>
      <c r="L16" s="133">
        <f>L$20*'INPUT | FCAST | TASKS'!L16</f>
        <v>0</v>
      </c>
      <c r="M16" s="129">
        <f>M$20*'INPUT | FCAST | TASKS'!M16</f>
        <v>1904732.949852593</v>
      </c>
      <c r="N16" s="129">
        <f>N$20*'INPUT | FCAST | TASKS'!N16</f>
        <v>586372.00534382381</v>
      </c>
      <c r="O16" s="129">
        <f>O$20*'INPUT | FCAST | TASKS'!O16</f>
        <v>232316.45749745824</v>
      </c>
      <c r="P16" s="129">
        <f>P$20*'INPUT | FCAST | TASKS'!P16</f>
        <v>95229.508308783275</v>
      </c>
      <c r="Q16" s="129">
        <f>Q$20*'INPUT | FCAST | TASKS'!Q16</f>
        <v>116191.82532634838</v>
      </c>
      <c r="R16" s="133">
        <f>SUM(L16:Q16)</f>
        <v>2934842.7463290067</v>
      </c>
    </row>
    <row r="17" spans="2:18" x14ac:dyDescent="0.25">
      <c r="B17" s="2" t="s">
        <v>39</v>
      </c>
      <c r="C17" s="133">
        <f>C$20*'INPUT | FCAST | TASKS'!C17</f>
        <v>0</v>
      </c>
      <c r="D17" s="129">
        <f>D$20*'INPUT | FCAST | TASKS'!D17</f>
        <v>1223790.9202802912</v>
      </c>
      <c r="E17" s="129">
        <f>E$20*'INPUT | FCAST | TASKS'!E17</f>
        <v>559327.59419589059</v>
      </c>
      <c r="F17" s="129">
        <f>F$20*'INPUT | FCAST | TASKS'!F17</f>
        <v>191753.26650583855</v>
      </c>
      <c r="G17" s="129">
        <f>G$20*'INPUT | FCAST | TASKS'!G17</f>
        <v>149278.68870025486</v>
      </c>
      <c r="H17" s="129">
        <f>H$20*'INPUT | FCAST | TASKS'!H17</f>
        <v>160880.98891340542</v>
      </c>
      <c r="I17" s="133">
        <f t="shared" ref="I17:I20" si="6">SUM(C17:H17)</f>
        <v>2285031.4585956805</v>
      </c>
      <c r="K17" s="2" t="s">
        <v>39</v>
      </c>
      <c r="L17" s="133">
        <f>L$20*'INPUT | FCAST | TASKS'!L17</f>
        <v>0</v>
      </c>
      <c r="M17" s="129">
        <f>M$20*'INPUT | FCAST | TASKS'!M17</f>
        <v>1223790.9202802912</v>
      </c>
      <c r="N17" s="129">
        <f>N$20*'INPUT | FCAST | TASKS'!N17</f>
        <v>559327.59419589059</v>
      </c>
      <c r="O17" s="129">
        <f>O$20*'INPUT | FCAST | TASKS'!O17</f>
        <v>191753.26650583855</v>
      </c>
      <c r="P17" s="129">
        <f>P$20*'INPUT | FCAST | TASKS'!P17</f>
        <v>149278.68870025486</v>
      </c>
      <c r="Q17" s="129">
        <f>Q$20*'INPUT | FCAST | TASKS'!Q17</f>
        <v>160880.98891340542</v>
      </c>
      <c r="R17" s="133">
        <f t="shared" ref="R17:R20" si="7">SUM(L17:Q17)</f>
        <v>2285031.4585956805</v>
      </c>
    </row>
    <row r="18" spans="2:18" x14ac:dyDescent="0.25">
      <c r="B18" s="2" t="s">
        <v>40</v>
      </c>
      <c r="C18" s="133">
        <f>C$20*'INPUT | FCAST | TASKS'!C18</f>
        <v>0</v>
      </c>
      <c r="D18" s="129">
        <f>D$20*'INPUT | FCAST | TASKS'!D18</f>
        <v>1119030.6080383984</v>
      </c>
      <c r="E18" s="129">
        <f>E$20*'INPUT | FCAST | TASKS'!E18</f>
        <v>303634.97970634064</v>
      </c>
      <c r="F18" s="129">
        <f>F$20*'INPUT | FCAST | TASKS'!F18</f>
        <v>105095.54029646922</v>
      </c>
      <c r="G18" s="129">
        <f>G$20*'INPUT | FCAST | TASKS'!G18</f>
        <v>79786.885339791392</v>
      </c>
      <c r="H18" s="129">
        <f>H$20*'INPUT | FCAST | TASKS'!H18</f>
        <v>80440.494456702712</v>
      </c>
      <c r="I18" s="133">
        <f t="shared" si="6"/>
        <v>1687988.5078377023</v>
      </c>
      <c r="K18" s="2" t="s">
        <v>40</v>
      </c>
      <c r="L18" s="133">
        <f>L$20*'INPUT | FCAST | TASKS'!L18</f>
        <v>0</v>
      </c>
      <c r="M18" s="129">
        <f>M$20*'INPUT | FCAST | TASKS'!M18</f>
        <v>1119030.6080383984</v>
      </c>
      <c r="N18" s="129">
        <f>N$20*'INPUT | FCAST | TASKS'!N18</f>
        <v>303634.97970634064</v>
      </c>
      <c r="O18" s="129">
        <f>O$20*'INPUT | FCAST | TASKS'!O18</f>
        <v>105095.54029646922</v>
      </c>
      <c r="P18" s="129">
        <f>P$20*'INPUT | FCAST | TASKS'!P18</f>
        <v>79786.885339791392</v>
      </c>
      <c r="Q18" s="129">
        <f>Q$20*'INPUT | FCAST | TASKS'!Q18</f>
        <v>80440.494456702712</v>
      </c>
      <c r="R18" s="133">
        <f t="shared" si="7"/>
        <v>1687988.5078377023</v>
      </c>
    </row>
    <row r="19" spans="2:18" x14ac:dyDescent="0.25">
      <c r="B19" s="2" t="s">
        <v>42</v>
      </c>
      <c r="C19" s="133">
        <f>C$20*'INPUT | FCAST | TASKS'!C19</f>
        <v>0</v>
      </c>
      <c r="D19" s="129">
        <f>D$20*'INPUT | FCAST | TASKS'!D19</f>
        <v>761893.1799410372</v>
      </c>
      <c r="E19" s="129">
        <f>E$20*'INPUT | FCAST | TASKS'!E19</f>
        <v>319615.7681119375</v>
      </c>
      <c r="F19" s="129">
        <f>F$20*'INPUT | FCAST | TASKS'!F19</f>
        <v>160408.98255776879</v>
      </c>
      <c r="G19" s="129">
        <f>G$20*'INPUT | FCAST | TASKS'!G19</f>
        <v>84934.426329455338</v>
      </c>
      <c r="H19" s="129">
        <f>H$20*'INPUT | FCAST | TASKS'!H19</f>
        <v>71502.661739291303</v>
      </c>
      <c r="I19" s="133">
        <f t="shared" si="6"/>
        <v>1398355.0186794901</v>
      </c>
      <c r="K19" s="2" t="s">
        <v>42</v>
      </c>
      <c r="L19" s="133">
        <f>L$20*'INPUT | FCAST | TASKS'!L19</f>
        <v>0</v>
      </c>
      <c r="M19" s="129">
        <f>M$20*'INPUT | FCAST | TASKS'!M19</f>
        <v>761893.1799410372</v>
      </c>
      <c r="N19" s="129">
        <f>N$20*'INPUT | FCAST | TASKS'!N19</f>
        <v>319615.7681119375</v>
      </c>
      <c r="O19" s="129">
        <f>O$20*'INPUT | FCAST | TASKS'!O19</f>
        <v>160408.98255776879</v>
      </c>
      <c r="P19" s="129">
        <f>P$20*'INPUT | FCAST | TASKS'!P19</f>
        <v>84934.426329455338</v>
      </c>
      <c r="Q19" s="129">
        <f>Q$20*'INPUT | FCAST | TASKS'!Q19</f>
        <v>71502.661739291303</v>
      </c>
      <c r="R19" s="133">
        <f t="shared" si="7"/>
        <v>1398355.0186794901</v>
      </c>
    </row>
    <row r="20" spans="2:18" x14ac:dyDescent="0.25">
      <c r="B20" s="94" t="s">
        <v>30</v>
      </c>
      <c r="C20" s="131">
        <f>C$30</f>
        <v>0</v>
      </c>
      <c r="D20" s="132">
        <f t="shared" ref="D20:H20" si="8">D$30</f>
        <v>5009447.6581123201</v>
      </c>
      <c r="E20" s="132">
        <f t="shared" si="8"/>
        <v>1768950.3473579925</v>
      </c>
      <c r="F20" s="132">
        <f t="shared" si="8"/>
        <v>689574.24685753486</v>
      </c>
      <c r="G20" s="132">
        <f t="shared" si="8"/>
        <v>409229.50867828488</v>
      </c>
      <c r="H20" s="132">
        <f t="shared" si="8"/>
        <v>429015.97043574788</v>
      </c>
      <c r="I20" s="131">
        <f t="shared" si="6"/>
        <v>8306217.7314418806</v>
      </c>
      <c r="K20" s="94" t="s">
        <v>30</v>
      </c>
      <c r="L20" s="131">
        <f>C$31</f>
        <v>0</v>
      </c>
      <c r="M20" s="132">
        <f t="shared" ref="M20:Q20" si="9">D$31</f>
        <v>5009447.6581123201</v>
      </c>
      <c r="N20" s="132">
        <f t="shared" si="9"/>
        <v>1768950.3473579925</v>
      </c>
      <c r="O20" s="132">
        <f t="shared" si="9"/>
        <v>689574.24685753486</v>
      </c>
      <c r="P20" s="132">
        <f t="shared" si="9"/>
        <v>409229.50867828488</v>
      </c>
      <c r="Q20" s="132">
        <f t="shared" si="9"/>
        <v>429015.97043574788</v>
      </c>
      <c r="R20" s="131">
        <f t="shared" si="7"/>
        <v>8306217.7314418806</v>
      </c>
    </row>
    <row r="21" spans="2:18" x14ac:dyDescent="0.25">
      <c r="B21" s="66"/>
      <c r="C21" s="107"/>
      <c r="D21" s="107"/>
      <c r="E21" s="107"/>
      <c r="F21" s="107"/>
      <c r="G21" s="107"/>
      <c r="H21" s="107"/>
      <c r="I21" s="107"/>
      <c r="K21" s="66"/>
      <c r="L21" s="107"/>
      <c r="M21" s="107"/>
      <c r="N21" s="107"/>
      <c r="O21" s="107"/>
      <c r="P21" s="107"/>
      <c r="Q21" s="107"/>
      <c r="R21" s="107"/>
    </row>
    <row r="22" spans="2:18" x14ac:dyDescent="0.25">
      <c r="B22" s="66"/>
      <c r="C22" s="107"/>
      <c r="D22" s="107"/>
      <c r="E22" s="107"/>
      <c r="F22" s="107"/>
      <c r="G22" s="107"/>
      <c r="H22" s="107"/>
      <c r="I22" s="107"/>
      <c r="K22" s="66"/>
      <c r="L22" s="107"/>
      <c r="M22" s="107"/>
      <c r="N22" s="107"/>
      <c r="O22" s="107"/>
      <c r="P22" s="107"/>
      <c r="Q22" s="107"/>
      <c r="R22" s="107"/>
    </row>
    <row r="24" spans="2:18" x14ac:dyDescent="0.25">
      <c r="B24" s="210" t="s">
        <v>54</v>
      </c>
      <c r="C24" s="210"/>
      <c r="D24" s="210"/>
      <c r="E24" s="210"/>
      <c r="F24" s="210"/>
      <c r="G24" s="210"/>
      <c r="H24" s="210"/>
      <c r="K24" s="210" t="s">
        <v>55</v>
      </c>
      <c r="L24" s="210"/>
      <c r="M24" s="210"/>
      <c r="N24" s="210"/>
      <c r="O24" s="210"/>
      <c r="P24" s="210"/>
      <c r="Q24" s="210"/>
    </row>
    <row r="26" spans="2:18" x14ac:dyDescent="0.25">
      <c r="C26" s="211" t="s">
        <v>56</v>
      </c>
      <c r="D26" s="210"/>
      <c r="E26" s="210"/>
      <c r="F26" s="210"/>
      <c r="G26" s="210"/>
      <c r="H26" s="210"/>
      <c r="L26" s="226" t="s">
        <v>56</v>
      </c>
      <c r="M26" s="227"/>
      <c r="N26" s="227"/>
      <c r="O26" s="227"/>
      <c r="P26" s="227"/>
      <c r="Q26" s="228"/>
    </row>
    <row r="27" spans="2:18" x14ac:dyDescent="0.25">
      <c r="B27" s="84" t="s">
        <v>50</v>
      </c>
      <c r="C27" s="81" t="s">
        <v>45</v>
      </c>
      <c r="D27" s="82" t="s">
        <v>21</v>
      </c>
      <c r="E27" s="82" t="s">
        <v>22</v>
      </c>
      <c r="F27" s="82" t="s">
        <v>23</v>
      </c>
      <c r="G27" s="82" t="s">
        <v>24</v>
      </c>
      <c r="H27" s="83" t="s">
        <v>25</v>
      </c>
      <c r="K27" s="84" t="s">
        <v>50</v>
      </c>
      <c r="L27" s="185" t="s">
        <v>45</v>
      </c>
      <c r="M27" s="82" t="s">
        <v>21</v>
      </c>
      <c r="N27" s="82" t="s">
        <v>22</v>
      </c>
      <c r="O27" s="82" t="s">
        <v>23</v>
      </c>
      <c r="P27" s="82" t="s">
        <v>24</v>
      </c>
      <c r="Q27" s="186" t="s">
        <v>25</v>
      </c>
      <c r="R27" s="83" t="s">
        <v>30</v>
      </c>
    </row>
    <row r="28" spans="2:18" x14ac:dyDescent="0.25">
      <c r="B28" s="13" t="s">
        <v>16</v>
      </c>
      <c r="C28" s="125">
        <f>L$32*'INPUT | FCAST | TASKS'!C28</f>
        <v>0</v>
      </c>
      <c r="D28" s="128">
        <f>M$32*'INPUT | FCAST | TASKS'!D28</f>
        <v>5009447.6581123201</v>
      </c>
      <c r="E28" s="128">
        <f>N$32*'INPUT | FCAST | TASKS'!E28</f>
        <v>1768950.3473579925</v>
      </c>
      <c r="F28" s="128">
        <f>O$32*'INPUT | FCAST | TASKS'!F28</f>
        <v>689574.24685753486</v>
      </c>
      <c r="G28" s="128">
        <f>P$32*'INPUT | FCAST | TASKS'!G28</f>
        <v>409229.50867828488</v>
      </c>
      <c r="H28" s="128">
        <f>Q$32*'INPUT | FCAST | TASKS'!H28</f>
        <v>429015.97043574788</v>
      </c>
      <c r="K28" s="2" t="s">
        <v>51</v>
      </c>
      <c r="L28" s="187">
        <v>44</v>
      </c>
      <c r="M28" s="75">
        <v>44</v>
      </c>
      <c r="N28" s="75">
        <v>44</v>
      </c>
      <c r="O28" s="75">
        <v>44</v>
      </c>
      <c r="P28" s="75">
        <v>44</v>
      </c>
      <c r="Q28" s="188">
        <v>44</v>
      </c>
      <c r="R28" s="75">
        <v>44</v>
      </c>
    </row>
    <row r="29" spans="2:18" x14ac:dyDescent="0.25">
      <c r="B29" s="18" t="s">
        <v>17</v>
      </c>
      <c r="C29" s="126">
        <f>L$32*'INPUT | FCAST | TASKS'!C29</f>
        <v>0</v>
      </c>
      <c r="D29" s="129">
        <f>M$32*'INPUT | FCAST | TASKS'!D29</f>
        <v>5009447.6581123201</v>
      </c>
      <c r="E29" s="129">
        <f>N$32*'INPUT | FCAST | TASKS'!E29</f>
        <v>1768950.3473579925</v>
      </c>
      <c r="F29" s="129">
        <f>O$32*'INPUT | FCAST | TASKS'!F29</f>
        <v>689574.24685753486</v>
      </c>
      <c r="G29" s="129">
        <f>P$32*'INPUT | FCAST | TASKS'!G29</f>
        <v>409229.50867828488</v>
      </c>
      <c r="H29" s="129">
        <f>Q$32*'INPUT | FCAST | TASKS'!H29</f>
        <v>429015.97043574788</v>
      </c>
      <c r="K29" s="2" t="s">
        <v>52</v>
      </c>
      <c r="L29" s="189">
        <v>37.5</v>
      </c>
      <c r="M29" s="77">
        <v>37.5</v>
      </c>
      <c r="N29" s="77">
        <v>37.5</v>
      </c>
      <c r="O29" s="77">
        <v>37.5</v>
      </c>
      <c r="P29" s="77">
        <v>37.5</v>
      </c>
      <c r="Q29" s="190">
        <v>37.5</v>
      </c>
      <c r="R29" s="77">
        <v>37.5</v>
      </c>
    </row>
    <row r="30" spans="2:18" x14ac:dyDescent="0.25">
      <c r="B30" s="19" t="s">
        <v>18</v>
      </c>
      <c r="C30" s="126">
        <f>L$32*'INPUT | FCAST | TASKS'!C30</f>
        <v>0</v>
      </c>
      <c r="D30" s="129">
        <f>M$32*'INPUT | FCAST | TASKS'!D30</f>
        <v>5009447.6581123201</v>
      </c>
      <c r="E30" s="129">
        <f>N$32*'INPUT | FCAST | TASKS'!E30</f>
        <v>1768950.3473579925</v>
      </c>
      <c r="F30" s="129">
        <f>O$32*'INPUT | FCAST | TASKS'!F30</f>
        <v>689574.24685753486</v>
      </c>
      <c r="G30" s="129">
        <f>P$32*'INPUT | FCAST | TASKS'!G30</f>
        <v>409229.50867828488</v>
      </c>
      <c r="H30" s="129">
        <f>Q$32*'INPUT | FCAST | TASKS'!H30</f>
        <v>429015.97043574788</v>
      </c>
      <c r="K30" s="182" t="s">
        <v>57</v>
      </c>
      <c r="L30" s="191">
        <f>L28*L29</f>
        <v>1650</v>
      </c>
      <c r="M30" s="184">
        <f t="shared" ref="M30:R30" si="10">M28*M29</f>
        <v>1650</v>
      </c>
      <c r="N30" s="184">
        <f t="shared" si="10"/>
        <v>1650</v>
      </c>
      <c r="O30" s="184">
        <f t="shared" si="10"/>
        <v>1650</v>
      </c>
      <c r="P30" s="184">
        <f t="shared" si="10"/>
        <v>1650</v>
      </c>
      <c r="Q30" s="192">
        <f t="shared" si="10"/>
        <v>1650</v>
      </c>
      <c r="R30" s="184">
        <f t="shared" si="10"/>
        <v>1650</v>
      </c>
    </row>
    <row r="31" spans="2:18" x14ac:dyDescent="0.25">
      <c r="B31" s="20" t="s">
        <v>19</v>
      </c>
      <c r="C31" s="127">
        <f>L$32*'INPUT | FCAST | TASKS'!C31</f>
        <v>0</v>
      </c>
      <c r="D31" s="130">
        <f>M$32*'INPUT | FCAST | TASKS'!D31</f>
        <v>5009447.6581123201</v>
      </c>
      <c r="E31" s="130">
        <f>N$32*'INPUT | FCAST | TASKS'!E31</f>
        <v>1768950.3473579925</v>
      </c>
      <c r="F31" s="130">
        <f>O$32*'INPUT | FCAST | TASKS'!F31</f>
        <v>689574.24685753486</v>
      </c>
      <c r="G31" s="130">
        <f>P$32*'INPUT | FCAST | TASKS'!G31</f>
        <v>409229.50867828488</v>
      </c>
      <c r="H31" s="130">
        <f>Q$32*'INPUT | FCAST | TASKS'!H31</f>
        <v>429015.97043574788</v>
      </c>
      <c r="K31" s="120" t="s">
        <v>1</v>
      </c>
      <c r="L31" s="193">
        <f>SUMIF('INPUT | WORKFORCE'!$D:$D,'CALC | FCAST | HOURS'!L$27,'INPUT | WORKFORCE'!$E:$E)</f>
        <v>0</v>
      </c>
      <c r="M31" s="122">
        <f>SUMIF('INPUT | WORKFORCE'!$D:$D,'CALC | FCAST | HOURS'!M$27,'INPUT | WORKFORCE'!$E:$E)</f>
        <v>12144.115534817745</v>
      </c>
      <c r="N31" s="122">
        <f>SUMIF('INPUT | WORKFORCE'!$D:$D,'CALC | FCAST | HOURS'!N$27,'INPUT | WORKFORCE'!$E:$E)</f>
        <v>4288.3644784436183</v>
      </c>
      <c r="O31" s="122">
        <f>SUMIF('INPUT | WORKFORCE'!$D:$D,'CALC | FCAST | HOURS'!O$27,'INPUT | WORKFORCE'!$E:$E)</f>
        <v>1671.6951438970541</v>
      </c>
      <c r="P31" s="122">
        <f>SUMIF('INPUT | WORKFORCE'!$D:$D,'CALC | FCAST | HOURS'!P$27,'INPUT | WORKFORCE'!$E:$E)</f>
        <v>992.07153618978157</v>
      </c>
      <c r="Q31" s="194">
        <f>SUMIF('INPUT | WORKFORCE'!$D:$D,'CALC | FCAST | HOURS'!Q$27,'INPUT | WORKFORCE'!$E:$E)</f>
        <v>1040.0387162078737</v>
      </c>
      <c r="R31" s="122">
        <f>SUM(L31:Q31)</f>
        <v>20136.285409556072</v>
      </c>
    </row>
    <row r="32" spans="2:18" x14ac:dyDescent="0.25">
      <c r="B32" s="71" t="s">
        <v>30</v>
      </c>
      <c r="C32" s="123">
        <f>SUM(C28:C31)</f>
        <v>0</v>
      </c>
      <c r="D32" s="124">
        <f t="shared" ref="D32:H32" si="11">SUM(D28:D31)</f>
        <v>20037790.63244928</v>
      </c>
      <c r="E32" s="124">
        <f t="shared" si="11"/>
        <v>7075801.3894319702</v>
      </c>
      <c r="F32" s="124">
        <f t="shared" si="11"/>
        <v>2758296.9874301394</v>
      </c>
      <c r="G32" s="124">
        <f t="shared" si="11"/>
        <v>1636918.0347131395</v>
      </c>
      <c r="H32" s="124">
        <f t="shared" si="11"/>
        <v>1716063.8817429915</v>
      </c>
      <c r="K32" s="71" t="s">
        <v>30</v>
      </c>
      <c r="L32" s="195">
        <f>L30*L31</f>
        <v>0</v>
      </c>
      <c r="M32" s="124">
        <f t="shared" ref="M32:Q32" si="12">M30*M31</f>
        <v>20037790.63244928</v>
      </c>
      <c r="N32" s="124">
        <f t="shared" si="12"/>
        <v>7075801.3894319702</v>
      </c>
      <c r="O32" s="124">
        <f t="shared" si="12"/>
        <v>2758296.9874301394</v>
      </c>
      <c r="P32" s="124">
        <f t="shared" si="12"/>
        <v>1636918.0347131395</v>
      </c>
      <c r="Q32" s="196">
        <f t="shared" si="12"/>
        <v>1716063.8817429915</v>
      </c>
      <c r="R32" s="124">
        <f>SUM(L32:Q32)</f>
        <v>33224870.925767522</v>
      </c>
    </row>
  </sheetData>
  <mergeCells count="14">
    <mergeCell ref="B2:I2"/>
    <mergeCell ref="K2:R2"/>
    <mergeCell ref="T2:AA2"/>
    <mergeCell ref="C4:I4"/>
    <mergeCell ref="L4:R4"/>
    <mergeCell ref="U4:AA4"/>
    <mergeCell ref="C26:H26"/>
    <mergeCell ref="L26:Q26"/>
    <mergeCell ref="B12:I12"/>
    <mergeCell ref="K12:R12"/>
    <mergeCell ref="C14:I14"/>
    <mergeCell ref="L14:R14"/>
    <mergeCell ref="B24:H24"/>
    <mergeCell ref="K24:Q2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E7E9-536A-46E0-A47D-F44000D16A05}">
  <sheetPr>
    <tabColor rgb="FF293894"/>
  </sheetPr>
  <dimension ref="B2:R20"/>
  <sheetViews>
    <sheetView workbookViewId="0">
      <selection activeCell="D10" sqref="D10"/>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16384" width="9.140625" style="2"/>
  </cols>
  <sheetData>
    <row r="2" spans="2:18" x14ac:dyDescent="0.25">
      <c r="B2" s="217" t="s">
        <v>46</v>
      </c>
      <c r="C2" s="217"/>
      <c r="D2" s="217"/>
      <c r="E2" s="217"/>
      <c r="F2" s="217"/>
      <c r="G2" s="217"/>
      <c r="H2" s="217"/>
      <c r="I2" s="217"/>
      <c r="K2" s="218" t="s">
        <v>47</v>
      </c>
      <c r="L2" s="218"/>
      <c r="M2" s="218"/>
      <c r="N2" s="218"/>
      <c r="O2" s="218"/>
      <c r="P2" s="218"/>
      <c r="Q2" s="218"/>
      <c r="R2" s="218"/>
    </row>
    <row r="4" spans="2:18" x14ac:dyDescent="0.25">
      <c r="C4" s="220" t="s">
        <v>56</v>
      </c>
      <c r="D4" s="221"/>
      <c r="E4" s="221"/>
      <c r="F4" s="221"/>
      <c r="G4" s="221"/>
      <c r="H4" s="221"/>
      <c r="I4" s="221"/>
      <c r="L4" s="222" t="s">
        <v>56</v>
      </c>
      <c r="M4" s="223"/>
      <c r="N4" s="223"/>
      <c r="O4" s="223"/>
      <c r="P4" s="223"/>
      <c r="Q4" s="223"/>
      <c r="R4" s="223"/>
    </row>
    <row r="5" spans="2:18"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row>
    <row r="6" spans="2:18" x14ac:dyDescent="0.25">
      <c r="B6" s="106" t="s">
        <v>41</v>
      </c>
      <c r="C6" s="140">
        <f>'CALC | BLINE | HOURS'!C6/'INPUT | SEGMENTATION'!$E$8</f>
        <v>0</v>
      </c>
      <c r="D6" s="141">
        <f>'CALC | BLINE | HOURS'!D6/'INPUT | SEGMENTATION'!$E$8</f>
        <v>6.8773598423314555</v>
      </c>
      <c r="E6" s="141">
        <f>'CALC | BLINE | HOURS'!E6/'INPUT | SEGMENTATION'!$E$8</f>
        <v>2.1171951073409367</v>
      </c>
      <c r="F6" s="141">
        <f>'CALC | BLINE | HOURS'!F6/'INPUT | SEGMENTATION'!$E$8</f>
        <v>0.83881778578428501</v>
      </c>
      <c r="G6" s="141">
        <f>'CALC | BLINE | HOURS'!G6/'INPUT | SEGMENTATION'!$E$8</f>
        <v>0.34384221488817135</v>
      </c>
      <c r="H6" s="141">
        <f>'CALC | BLINE | HOURS'!H6/'INPUT | SEGMENTATION'!$E$8</f>
        <v>0.41953019900687971</v>
      </c>
      <c r="I6" s="144">
        <f>'CALC | BLINE | HOURS'!I6/'INPUT | SEGMENTATION'!$E$8</f>
        <v>10.59674514935173</v>
      </c>
      <c r="K6" s="106" t="s">
        <v>41</v>
      </c>
      <c r="L6" s="140">
        <f>'CALC | BLINE | HOURS'!L6/'INPUT | SEGMENTATION'!$E$9</f>
        <v>0</v>
      </c>
      <c r="M6" s="141">
        <f>'CALC | BLINE | HOURS'!M6/'INPUT | SEGMENTATION'!$E$9</f>
        <v>6.3126228726381282</v>
      </c>
      <c r="N6" s="141">
        <f>'CALC | BLINE | HOURS'!N6/'INPUT | SEGMENTATION'!$E$9</f>
        <v>1.9433408410846102</v>
      </c>
      <c r="O6" s="141">
        <f>'CALC | BLINE | HOURS'!O6/'INPUT | SEGMENTATION'!$E$9</f>
        <v>0.76993795030542878</v>
      </c>
      <c r="P6" s="141">
        <f>'CALC | BLINE | HOURS'!P6/'INPUT | SEGMENTATION'!$E$9</f>
        <v>0.31560748311023379</v>
      </c>
      <c r="Q6" s="141">
        <f>'CALC | BLINE | HOURS'!Q6/'INPUT | SEGMENTATION'!$E$9</f>
        <v>0.38508032017057536</v>
      </c>
      <c r="R6" s="150">
        <f>'CALC | BLINE | HOURS'!R6/'INPUT | SEGMENTATION'!$E$9</f>
        <v>9.7265894673089761</v>
      </c>
    </row>
    <row r="7" spans="2:18" x14ac:dyDescent="0.25">
      <c r="B7" s="2" t="s">
        <v>39</v>
      </c>
      <c r="C7" s="140">
        <f>'CALC | BLINE | HOURS'!C7/'INPUT | SEGMENTATION'!$E$8</f>
        <v>0</v>
      </c>
      <c r="D7" s="141">
        <f>'CALC | BLINE | HOURS'!D7/'INPUT | SEGMENTATION'!$E$8</f>
        <v>4.4187036986979615</v>
      </c>
      <c r="E7" s="141">
        <f>'CALC | BLINE | HOURS'!E7/'INPUT | SEGMENTATION'!$E$8</f>
        <v>2.0195466956816062</v>
      </c>
      <c r="F7" s="141">
        <f>'CALC | BLINE | HOURS'!F7/'INPUT | SEGMENTATION'!$E$8</f>
        <v>0.6923575374727432</v>
      </c>
      <c r="G7" s="141">
        <f>'CALC | BLINE | HOURS'!G7/'INPUT | SEGMENTATION'!$E$8</f>
        <v>0.53899590441929568</v>
      </c>
      <c r="H7" s="141">
        <f>'CALC | BLINE | HOURS'!H7/'INPUT | SEGMENTATION'!$E$8</f>
        <v>0.58088796785567953</v>
      </c>
      <c r="I7" s="144">
        <f>'CALC | BLINE | HOURS'!I7/'INPUT | SEGMENTATION'!$E$8</f>
        <v>8.2504918041272859</v>
      </c>
      <c r="K7" s="2" t="s">
        <v>39</v>
      </c>
      <c r="L7" s="140">
        <f>'CALC | BLINE | HOURS'!L7/'INPUT | SEGMENTATION'!$E$9</f>
        <v>0</v>
      </c>
      <c r="M7" s="141">
        <f>'CALC | BLINE | HOURS'!M7/'INPUT | SEGMENTATION'!$E$9</f>
        <v>4.0558601956699984</v>
      </c>
      <c r="N7" s="141">
        <f>'CALC | BLINE | HOURS'!N7/'INPUT | SEGMENTATION'!$E$9</f>
        <v>1.8537108651855296</v>
      </c>
      <c r="O7" s="141">
        <f>'CALC | BLINE | HOURS'!O7/'INPUT | SEGMENTATION'!$E$9</f>
        <v>0.63550433993463962</v>
      </c>
      <c r="P7" s="141">
        <f>'CALC | BLINE | HOURS'!P7/'INPUT | SEGMENTATION'!$E$9</f>
        <v>0.49473605460523129</v>
      </c>
      <c r="Q7" s="141">
        <f>'CALC | BLINE | HOURS'!Q7/'INPUT | SEGMENTATION'!$E$9</f>
        <v>0.53318813562079659</v>
      </c>
      <c r="R7" s="150">
        <f>'CALC | BLINE | HOURS'!R7/'INPUT | SEGMENTATION'!$E$9</f>
        <v>7.5729995910161945</v>
      </c>
    </row>
    <row r="8" spans="2:18" x14ac:dyDescent="0.25">
      <c r="B8" s="2" t="s">
        <v>40</v>
      </c>
      <c r="C8" s="140">
        <f>'CALC | BLINE | HOURS'!C8/'INPUT | SEGMENTATION'!$E$8</f>
        <v>0</v>
      </c>
      <c r="D8" s="141">
        <f>'CALC | BLINE | HOURS'!D8/'INPUT | SEGMENTATION'!$E$8</f>
        <v>4.0404489073697301</v>
      </c>
      <c r="E8" s="141">
        <f>'CALC | BLINE | HOURS'!E8/'INPUT | SEGMENTATION'!$E$8</f>
        <v>1.0963253490843006</v>
      </c>
      <c r="F8" s="141">
        <f>'CALC | BLINE | HOURS'!F8/'INPUT | SEGMENTATION'!$E$8</f>
        <v>0.37946518880717661</v>
      </c>
      <c r="G8" s="141">
        <f>'CALC | BLINE | HOURS'!G8/'INPUT | SEGMENTATION'!$E$8</f>
        <v>0.28808401787927868</v>
      </c>
      <c r="H8" s="141">
        <f>'CALC | BLINE | HOURS'!H8/'INPUT | SEGMENTATION'!$E$8</f>
        <v>0.29044398392783977</v>
      </c>
      <c r="I8" s="144">
        <f>'CALC | BLINE | HOURS'!I8/'INPUT | SEGMENTATION'!$E$8</f>
        <v>6.0947674470683255</v>
      </c>
      <c r="K8" s="2" t="s">
        <v>40</v>
      </c>
      <c r="L8" s="140">
        <f>'CALC | BLINE | HOURS'!L8/'INPUT | SEGMENTATION'!$E$9</f>
        <v>0</v>
      </c>
      <c r="M8" s="141">
        <f>'CALC | BLINE | HOURS'!M8/'INPUT | SEGMENTATION'!$E$9</f>
        <v>3.7086659376749007</v>
      </c>
      <c r="N8" s="141">
        <f>'CALC | BLINE | HOURS'!N8/'INPUT | SEGMENTATION'!$E$9</f>
        <v>1.0063001839578591</v>
      </c>
      <c r="O8" s="141">
        <f>'CALC | BLINE | HOURS'!O8/'INPUT | SEGMENTATION'!$E$9</f>
        <v>0.34830526323340827</v>
      </c>
      <c r="P8" s="141">
        <f>'CALC | BLINE | HOURS'!P8/'INPUT | SEGMENTATION'!$E$9</f>
        <v>0.26442789125452015</v>
      </c>
      <c r="Q8" s="141">
        <f>'CALC | BLINE | HOURS'!Q8/'INPUT | SEGMENTATION'!$E$9</f>
        <v>0.26659406781039829</v>
      </c>
      <c r="R8" s="150">
        <f>'CALC | BLINE | HOURS'!R8/'INPUT | SEGMENTATION'!$E$9</f>
        <v>5.5942933439310858</v>
      </c>
    </row>
    <row r="9" spans="2:18" x14ac:dyDescent="0.25">
      <c r="B9" s="2" t="s">
        <v>42</v>
      </c>
      <c r="C9" s="140">
        <f>'CALC | BLINE | HOURS'!C9/'INPUT | SEGMENTATION'!$E$8</f>
        <v>0</v>
      </c>
      <c r="D9" s="141">
        <f>'CALC | BLINE | HOURS'!D9/'INPUT | SEGMENTATION'!$E$8</f>
        <v>2.7509439369325825</v>
      </c>
      <c r="E9" s="141">
        <f>'CALC | BLINE | HOURS'!E9/'INPUT | SEGMENTATION'!$E$8</f>
        <v>1.1540266832466322</v>
      </c>
      <c r="F9" s="141">
        <f>'CALC | BLINE | HOURS'!F9/'INPUT | SEGMENTATION'!$E$8</f>
        <v>0.57918370923200635</v>
      </c>
      <c r="G9" s="141">
        <f>'CALC | BLINE | HOURS'!G9/'INPUT | SEGMENTATION'!$E$8</f>
        <v>0.30667008354890951</v>
      </c>
      <c r="H9" s="141">
        <f>'CALC | BLINE | HOURS'!H9/'INPUT | SEGMENTATION'!$E$8</f>
        <v>0.25817243015807978</v>
      </c>
      <c r="I9" s="144">
        <f>'CALC | BLINE | HOURS'!I9/'INPUT | SEGMENTATION'!$E$8</f>
        <v>5.0489968431182097</v>
      </c>
      <c r="K9" s="2" t="s">
        <v>42</v>
      </c>
      <c r="L9" s="140">
        <f>'CALC | BLINE | HOURS'!L9/'INPUT | SEGMENTATION'!$E$9</f>
        <v>0</v>
      </c>
      <c r="M9" s="141">
        <f>'CALC | BLINE | HOURS'!M9/'INPUT | SEGMENTATION'!$E$9</f>
        <v>2.5250491490552514</v>
      </c>
      <c r="N9" s="141">
        <f>'CALC | BLINE | HOURS'!N9/'INPUT | SEGMENTATION'!$E$9</f>
        <v>1.0592633515345884</v>
      </c>
      <c r="O9" s="141">
        <f>'CALC | BLINE | HOURS'!O9/'INPUT | SEGMENTATION'!$E$9</f>
        <v>0.53162382282993892</v>
      </c>
      <c r="P9" s="141">
        <f>'CALC | BLINE | HOURS'!P9/'INPUT | SEGMENTATION'!$E$9</f>
        <v>0.28148775520642466</v>
      </c>
      <c r="Q9" s="141">
        <f>'CALC | BLINE | HOURS'!Q9/'INPUT | SEGMENTATION'!$E$9</f>
        <v>0.23697250472035403</v>
      </c>
      <c r="R9" s="150">
        <f>'CALC | BLINE | HOURS'!R9/'INPUT | SEGMENTATION'!$E$9</f>
        <v>4.6343965833465575</v>
      </c>
    </row>
    <row r="10" spans="2:18" x14ac:dyDescent="0.25">
      <c r="B10" s="145" t="s">
        <v>30</v>
      </c>
      <c r="C10" s="142">
        <f>'CALC | BLINE | HOURS'!C10/'INPUT | SEGMENTATION'!$E$8</f>
        <v>0</v>
      </c>
      <c r="D10" s="143">
        <f>'CALC | BLINE | HOURS'!D10/'INPUT | SEGMENTATION'!$E$8</f>
        <v>18.087456385331731</v>
      </c>
      <c r="E10" s="143">
        <f>'CALC | BLINE | HOURS'!E10/'INPUT | SEGMENTATION'!$E$8</f>
        <v>6.3870938353534754</v>
      </c>
      <c r="F10" s="143">
        <f>'CALC | BLINE | HOURS'!F10/'INPUT | SEGMENTATION'!$E$8</f>
        <v>2.4898242212962116</v>
      </c>
      <c r="G10" s="143">
        <f>'CALC | BLINE | HOURS'!G10/'INPUT | SEGMENTATION'!$E$8</f>
        <v>1.4775922207356553</v>
      </c>
      <c r="H10" s="143">
        <f>'CALC | BLINE | HOURS'!H10/'INPUT | SEGMENTATION'!$E$8</f>
        <v>1.5490345809484789</v>
      </c>
      <c r="I10" s="142">
        <f>'CALC | BLINE | HOURS'!I10/'INPUT | SEGMENTATION'!$E$8</f>
        <v>29.991001243665554</v>
      </c>
      <c r="K10" s="152" t="s">
        <v>30</v>
      </c>
      <c r="L10" s="151">
        <f>'CALC | BLINE | HOURS'!L10/'INPUT | SEGMENTATION'!$E$9</f>
        <v>0</v>
      </c>
      <c r="M10" s="153">
        <f>'CALC | BLINE | HOURS'!M10/'INPUT | SEGMENTATION'!$E$9</f>
        <v>16.60219815503828</v>
      </c>
      <c r="N10" s="153">
        <f>'CALC | BLINE | HOURS'!N10/'INPUT | SEGMENTATION'!$E$9</f>
        <v>5.8626152417625876</v>
      </c>
      <c r="O10" s="153">
        <f>'CALC | BLINE | HOURS'!O10/'INPUT | SEGMENTATION'!$E$9</f>
        <v>2.2853713763034156</v>
      </c>
      <c r="P10" s="153">
        <f>'CALC | BLINE | HOURS'!P10/'INPUT | SEGMENTATION'!$E$9</f>
        <v>1.35625918417641</v>
      </c>
      <c r="Q10" s="153">
        <f>'CALC | BLINE | HOURS'!Q10/'INPUT | SEGMENTATION'!$E$9</f>
        <v>1.4218350283221244</v>
      </c>
      <c r="R10" s="151">
        <f>'CALC | BLINE | HOURS'!R10/'INPUT | SEGMENTATION'!$E$9</f>
        <v>27.528278985602817</v>
      </c>
    </row>
    <row r="12" spans="2:18" x14ac:dyDescent="0.25">
      <c r="B12" s="204" t="s">
        <v>48</v>
      </c>
      <c r="C12" s="204"/>
      <c r="D12" s="204"/>
      <c r="E12" s="204"/>
      <c r="F12" s="204"/>
      <c r="G12" s="204"/>
      <c r="H12" s="204"/>
      <c r="I12" s="204"/>
      <c r="K12" s="212" t="s">
        <v>49</v>
      </c>
      <c r="L12" s="212"/>
      <c r="M12" s="212"/>
      <c r="N12" s="212"/>
      <c r="O12" s="212"/>
      <c r="P12" s="212"/>
      <c r="Q12" s="212"/>
      <c r="R12" s="212"/>
    </row>
    <row r="14" spans="2:18" x14ac:dyDescent="0.25">
      <c r="C14" s="213" t="s">
        <v>56</v>
      </c>
      <c r="D14" s="214"/>
      <c r="E14" s="214"/>
      <c r="F14" s="214"/>
      <c r="G14" s="214"/>
      <c r="H14" s="214"/>
      <c r="I14" s="214"/>
      <c r="L14" s="215" t="s">
        <v>56</v>
      </c>
      <c r="M14" s="216"/>
      <c r="N14" s="216"/>
      <c r="O14" s="216"/>
      <c r="P14" s="216"/>
      <c r="Q14" s="216"/>
      <c r="R14" s="216"/>
    </row>
    <row r="15" spans="2:18"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18" x14ac:dyDescent="0.25">
      <c r="B16" s="106" t="s">
        <v>41</v>
      </c>
      <c r="C16" s="140">
        <f>'CALC | BLINE | HOURS'!C16/'INPUT | SEGMENTATION'!$E$10</f>
        <v>0</v>
      </c>
      <c r="D16" s="141">
        <f>'CALC | BLINE | HOURS'!D16/'INPUT | SEGMENTATION'!$E$10</f>
        <v>84.023686525766152</v>
      </c>
      <c r="E16" s="141">
        <f>'CALC | BLINE | HOURS'!E16/'INPUT | SEGMENTATION'!$E$10</f>
        <v>25.866690429389202</v>
      </c>
      <c r="F16" s="141">
        <f>'CALC | BLINE | HOURS'!F16/'INPUT | SEGMENTATION'!$E$10</f>
        <v>10.248200516011215</v>
      </c>
      <c r="G16" s="141">
        <f>'CALC | BLINE | HOURS'!G16/'INPUT | SEGMENTATION'!$E$10</f>
        <v>4.2008693947145117</v>
      </c>
      <c r="H16" s="141">
        <f>'CALC | BLINE | HOURS'!H16/'INPUT | SEGMENTATION'!$E$10</f>
        <v>5.1255823073954909</v>
      </c>
      <c r="I16" s="149">
        <f>'CALC | BLINE | HOURS'!I16/'INPUT | SEGMENTATION'!$E$10</f>
        <v>129.46502917327658</v>
      </c>
      <c r="K16" s="106" t="s">
        <v>41</v>
      </c>
      <c r="L16" s="140">
        <f>'CALC | BLINE | HOURS'!L16/'INPUT | SEGMENTATION'!$E$11</f>
        <v>0</v>
      </c>
      <c r="M16" s="141">
        <f>'CALC | BLINE | HOURS'!M16/'INPUT | SEGMENTATION'!$E$11</f>
        <v>392.72844326857586</v>
      </c>
      <c r="N16" s="141">
        <f>'CALC | BLINE | HOURS'!N16/'INPUT | SEGMENTATION'!$E$11</f>
        <v>120.90144440078842</v>
      </c>
      <c r="O16" s="141">
        <f>'CALC | BLINE | HOURS'!O16/'INPUT | SEGMENTATION'!$E$11</f>
        <v>47.900300514939843</v>
      </c>
      <c r="P16" s="141">
        <f>'CALC | BLINE | HOURS'!P16/'INPUT | SEGMENTATION'!$E$11</f>
        <v>19.634950166759438</v>
      </c>
      <c r="Q16" s="141">
        <f>'CALC | BLINE | HOURS'!Q16/'INPUT | SEGMENTATION'!$E$11</f>
        <v>23.957077386875955</v>
      </c>
      <c r="R16" s="157">
        <f>'CALC | BLINE | HOURS'!R16/'INPUT | SEGMENTATION'!$E$11</f>
        <v>605.12221573793954</v>
      </c>
    </row>
    <row r="17" spans="2:18" x14ac:dyDescent="0.25">
      <c r="B17" s="2" t="s">
        <v>39</v>
      </c>
      <c r="C17" s="140">
        <f>'CALC | BLINE | HOURS'!C17/'INPUT | SEGMENTATION'!$E$10</f>
        <v>0</v>
      </c>
      <c r="D17" s="141">
        <f>'CALC | BLINE | HOURS'!D17/'INPUT | SEGMENTATION'!$E$10</f>
        <v>53.985218592804763</v>
      </c>
      <c r="E17" s="141">
        <f>'CALC | BLINE | HOURS'!E17/'INPUT | SEGMENTATION'!$E$10</f>
        <v>24.673677453610242</v>
      </c>
      <c r="F17" s="141">
        <f>'CALC | BLINE | HOURS'!F17/'INPUT | SEGMENTATION'!$E$10</f>
        <v>8.4588321719457653</v>
      </c>
      <c r="G17" s="141">
        <f>'CALC | BLINE | HOURS'!G17/'INPUT | SEGMENTATION'!$E$10</f>
        <v>6.5851466187416676</v>
      </c>
      <c r="H17" s="141">
        <f>'CALC | BLINE | HOURS'!H17/'INPUT | SEGMENTATION'!$E$10</f>
        <v>7.096960117932217</v>
      </c>
      <c r="I17" s="149">
        <f>'CALC | BLINE | HOURS'!I17/'INPUT | SEGMENTATION'!$E$10</f>
        <v>100.79983495503465</v>
      </c>
      <c r="K17" s="2" t="s">
        <v>39</v>
      </c>
      <c r="L17" s="140">
        <f>'CALC | BLINE | HOURS'!L17/'INPUT | SEGMENTATION'!$E$11</f>
        <v>0</v>
      </c>
      <c r="M17" s="141">
        <f>'CALC | BLINE | HOURS'!M17/'INPUT | SEGMENTATION'!$E$11</f>
        <v>252.32802480006004</v>
      </c>
      <c r="N17" s="141">
        <f>'CALC | BLINE | HOURS'!N17/'INPUT | SEGMENTATION'!$E$11</f>
        <v>115.32527715379187</v>
      </c>
      <c r="O17" s="141">
        <f>'CALC | BLINE | HOURS'!O17/'INPUT | SEGMENTATION'!$E$11</f>
        <v>39.536755980585269</v>
      </c>
      <c r="P17" s="141">
        <f>'CALC | BLINE | HOURS'!P17/'INPUT | SEGMENTATION'!$E$11</f>
        <v>30.779111072217496</v>
      </c>
      <c r="Q17" s="141">
        <f>'CALC | BLINE | HOURS'!Q17/'INPUT | SEGMENTATION'!$E$11</f>
        <v>33.17133792028978</v>
      </c>
      <c r="R17" s="157">
        <f>'CALC | BLINE | HOURS'!R17/'INPUT | SEGMENTATION'!$E$11</f>
        <v>471.14050692694445</v>
      </c>
    </row>
    <row r="18" spans="2:18" x14ac:dyDescent="0.25">
      <c r="B18" s="2" t="s">
        <v>40</v>
      </c>
      <c r="C18" s="140">
        <f>'CALC | BLINE | HOURS'!C18/'INPUT | SEGMENTATION'!$E$10</f>
        <v>0</v>
      </c>
      <c r="D18" s="141">
        <f>'CALC | BLINE | HOURS'!D18/'INPUT | SEGMENTATION'!$E$10</f>
        <v>49.363915833887617</v>
      </c>
      <c r="E18" s="141">
        <f>'CALC | BLINE | HOURS'!E18/'INPUT | SEGMENTATION'!$E$10</f>
        <v>13.394282046245563</v>
      </c>
      <c r="F18" s="141">
        <f>'CALC | BLINE | HOURS'!F18/'INPUT | SEGMENTATION'!$E$10</f>
        <v>4.6360907096241215</v>
      </c>
      <c r="G18" s="141">
        <f>'CALC | BLINE | HOURS'!G18/'INPUT | SEGMENTATION'!$E$10</f>
        <v>3.5196473307067535</v>
      </c>
      <c r="H18" s="141">
        <f>'CALC | BLINE | HOURS'!H18/'INPUT | SEGMENTATION'!$E$10</f>
        <v>3.5484800589661085</v>
      </c>
      <c r="I18" s="149">
        <f>'CALC | BLINE | HOURS'!I18/'INPUT | SEGMENTATION'!$E$10</f>
        <v>74.462415979430162</v>
      </c>
      <c r="K18" s="2" t="s">
        <v>40</v>
      </c>
      <c r="L18" s="140">
        <f>'CALC | BLINE | HOURS'!L18/'INPUT | SEGMENTATION'!$E$11</f>
        <v>0</v>
      </c>
      <c r="M18" s="141">
        <f>'CALC | BLINE | HOURS'!M18/'INPUT | SEGMENTATION'!$E$11</f>
        <v>230.72796042028833</v>
      </c>
      <c r="N18" s="141">
        <f>'CALC | BLINE | HOURS'!N18/'INPUT | SEGMENTATION'!$E$11</f>
        <v>62.605150454915595</v>
      </c>
      <c r="O18" s="141">
        <f>'CALC | BLINE | HOURS'!O18/'INPUT | SEGMENTATION'!$E$11</f>
        <v>21.669183566282314</v>
      </c>
      <c r="P18" s="141">
        <f>'CALC | BLINE | HOURS'!P18/'INPUT | SEGMENTATION'!$E$11</f>
        <v>16.450904193771422</v>
      </c>
      <c r="Q18" s="141">
        <f>'CALC | BLINE | HOURS'!Q18/'INPUT | SEGMENTATION'!$E$11</f>
        <v>16.58566896014489</v>
      </c>
      <c r="R18" s="157">
        <f>'CALC | BLINE | HOURS'!R18/'INPUT | SEGMENTATION'!$E$11</f>
        <v>348.03886759540251</v>
      </c>
    </row>
    <row r="19" spans="2:18" x14ac:dyDescent="0.25">
      <c r="B19" s="2" t="s">
        <v>42</v>
      </c>
      <c r="C19" s="140">
        <f>'CALC | BLINE | HOURS'!C19/'INPUT | SEGMENTATION'!$E$10</f>
        <v>0</v>
      </c>
      <c r="D19" s="141">
        <f>'CALC | BLINE | HOURS'!D19/'INPUT | SEGMENTATION'!$E$10</f>
        <v>33.609474610306464</v>
      </c>
      <c r="E19" s="141">
        <f>'CALC | BLINE | HOURS'!E19/'INPUT | SEGMENTATION'!$E$10</f>
        <v>14.099244259205854</v>
      </c>
      <c r="F19" s="141">
        <f>'CALC | BLINE | HOURS'!F19/'INPUT | SEGMENTATION'!$E$10</f>
        <v>7.0761384515315537</v>
      </c>
      <c r="G19" s="141">
        <f>'CALC | BLINE | HOURS'!G19/'INPUT | SEGMENTATION'!$E$10</f>
        <v>3.7467213520426723</v>
      </c>
      <c r="H19" s="141">
        <f>'CALC | BLINE | HOURS'!H19/'INPUT | SEGMENTATION'!$E$10</f>
        <v>3.154204496858763</v>
      </c>
      <c r="I19" s="149">
        <f>'CALC | BLINE | HOURS'!I19/'INPUT | SEGMENTATION'!$E$10</f>
        <v>61.685783169945303</v>
      </c>
      <c r="K19" s="2" t="s">
        <v>42</v>
      </c>
      <c r="L19" s="140">
        <f>'CALC | BLINE | HOURS'!L19/'INPUT | SEGMENTATION'!$E$11</f>
        <v>0</v>
      </c>
      <c r="M19" s="141">
        <f>'CALC | BLINE | HOURS'!M19/'INPUT | SEGMENTATION'!$E$11</f>
        <v>157.09137730743035</v>
      </c>
      <c r="N19" s="141">
        <f>'CALC | BLINE | HOURS'!N19/'INPUT | SEGMENTATION'!$E$11</f>
        <v>65.90015837359536</v>
      </c>
      <c r="O19" s="141">
        <f>'CALC | BLINE | HOURS'!O19/'INPUT | SEGMENTATION'!$E$11</f>
        <v>33.074017022220367</v>
      </c>
      <c r="P19" s="141">
        <f>'CALC | BLINE | HOURS'!P19/'INPUT | SEGMENTATION'!$E$11</f>
        <v>17.512252851434091</v>
      </c>
      <c r="Q19" s="141">
        <f>'CALC | BLINE | HOURS'!Q19/'INPUT | SEGMENTATION'!$E$11</f>
        <v>14.742816853462124</v>
      </c>
      <c r="R19" s="157">
        <f>'CALC | BLINE | HOURS'!R19/'INPUT | SEGMENTATION'!$E$11</f>
        <v>288.3206224081423</v>
      </c>
    </row>
    <row r="20" spans="2:18" x14ac:dyDescent="0.25">
      <c r="B20" s="146" t="s">
        <v>30</v>
      </c>
      <c r="C20" s="147">
        <f>'CALC | BLINE | HOURS'!C20/'INPUT | SEGMENTATION'!$E$10</f>
        <v>0</v>
      </c>
      <c r="D20" s="148">
        <f>'CALC | BLINE | HOURS'!D20/'INPUT | SEGMENTATION'!$E$10</f>
        <v>220.98229556276502</v>
      </c>
      <c r="E20" s="148">
        <f>'CALC | BLINE | HOURS'!E20/'INPUT | SEGMENTATION'!$E$10</f>
        <v>78.033894188450859</v>
      </c>
      <c r="F20" s="148">
        <f>'CALC | BLINE | HOURS'!F20/'INPUT | SEGMENTATION'!$E$10</f>
        <v>30.419261849112658</v>
      </c>
      <c r="G20" s="148">
        <f>'CALC | BLINE | HOURS'!G20/'INPUT | SEGMENTATION'!$E$10</f>
        <v>18.052384696205607</v>
      </c>
      <c r="H20" s="148">
        <f>'CALC | BLINE | HOURS'!H20/'INPUT | SEGMENTATION'!$E$10</f>
        <v>18.925226981152584</v>
      </c>
      <c r="I20" s="147">
        <f>'CALC | BLINE | HOURS'!I20/'INPUT | SEGMENTATION'!$E$10</f>
        <v>366.41306327768672</v>
      </c>
      <c r="K20" s="154" t="s">
        <v>30</v>
      </c>
      <c r="L20" s="155">
        <f>'CALC | BLINE | HOURS'!L20/'INPUT | SEGMENTATION'!$E$11</f>
        <v>0</v>
      </c>
      <c r="M20" s="156">
        <f>'CALC | BLINE | HOURS'!M20/'INPUT | SEGMENTATION'!$E$11</f>
        <v>1032.8758057963546</v>
      </c>
      <c r="N20" s="156">
        <f>'CALC | BLINE | HOURS'!N20/'INPUT | SEGMENTATION'!$E$11</f>
        <v>364.73203038309123</v>
      </c>
      <c r="O20" s="156">
        <f>'CALC | BLINE | HOURS'!O20/'INPUT | SEGMENTATION'!$E$11</f>
        <v>142.1802570840278</v>
      </c>
      <c r="P20" s="156">
        <f>'CALC | BLINE | HOURS'!P20/'INPUT | SEGMENTATION'!$E$11</f>
        <v>84.377218284182447</v>
      </c>
      <c r="Q20" s="156">
        <f>'CALC | BLINE | HOURS'!Q20/'INPUT | SEGMENTATION'!$E$11</f>
        <v>88.456901120772756</v>
      </c>
      <c r="R20" s="155">
        <f>'CALC | BLINE | HOURS'!R20/'INPUT | SEGMENTATION'!$E$11</f>
        <v>1712.622212668429</v>
      </c>
    </row>
  </sheetData>
  <mergeCells count="8">
    <mergeCell ref="C14:I14"/>
    <mergeCell ref="L14:R14"/>
    <mergeCell ref="B2:I2"/>
    <mergeCell ref="K2:R2"/>
    <mergeCell ref="C4:I4"/>
    <mergeCell ref="L4:R4"/>
    <mergeCell ref="B12:I12"/>
    <mergeCell ref="K12:R1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CC91-F056-4FF1-BA92-78C5284CD7B8}">
  <sheetPr>
    <tabColor rgb="FF293894"/>
  </sheetPr>
  <dimension ref="B2:R20"/>
  <sheetViews>
    <sheetView workbookViewId="0">
      <selection activeCell="L22" sqref="L22"/>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16384" width="9.140625" style="2"/>
  </cols>
  <sheetData>
    <row r="2" spans="2:18" x14ac:dyDescent="0.25">
      <c r="B2" s="217" t="s">
        <v>46</v>
      </c>
      <c r="C2" s="217"/>
      <c r="D2" s="217"/>
      <c r="E2" s="217"/>
      <c r="F2" s="217"/>
      <c r="G2" s="217"/>
      <c r="H2" s="217"/>
      <c r="I2" s="217"/>
      <c r="K2" s="218" t="s">
        <v>47</v>
      </c>
      <c r="L2" s="218"/>
      <c r="M2" s="218"/>
      <c r="N2" s="218"/>
      <c r="O2" s="218"/>
      <c r="P2" s="218"/>
      <c r="Q2" s="218"/>
      <c r="R2" s="218"/>
    </row>
    <row r="4" spans="2:18" x14ac:dyDescent="0.25">
      <c r="C4" s="220" t="s">
        <v>56</v>
      </c>
      <c r="D4" s="221"/>
      <c r="E4" s="221"/>
      <c r="F4" s="221"/>
      <c r="G4" s="221"/>
      <c r="H4" s="221"/>
      <c r="I4" s="221"/>
      <c r="L4" s="222" t="s">
        <v>56</v>
      </c>
      <c r="M4" s="223"/>
      <c r="N4" s="223"/>
      <c r="O4" s="223"/>
      <c r="P4" s="223"/>
      <c r="Q4" s="223"/>
      <c r="R4" s="223"/>
    </row>
    <row r="5" spans="2:18"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row>
    <row r="6" spans="2:18" x14ac:dyDescent="0.25">
      <c r="B6" s="106" t="s">
        <v>41</v>
      </c>
      <c r="C6" s="140">
        <f>'CALC | FCAST | HOURS'!C6/'INPUT | SEGMENTATION'!$F$8</f>
        <v>0</v>
      </c>
      <c r="D6" s="141">
        <f>'CALC | FCAST | HOURS'!D6/'INPUT | SEGMENTATION'!$F$8</f>
        <v>6.7206023274983258</v>
      </c>
      <c r="E6" s="141">
        <f>'CALC | FCAST | HOURS'!E6/'INPUT | SEGMENTATION'!$F$8</f>
        <v>2.0689373091375036</v>
      </c>
      <c r="F6" s="141">
        <f>'CALC | FCAST | HOURS'!F6/'INPUT | SEGMENTATION'!$F$8</f>
        <v>0.81969838611465873</v>
      </c>
      <c r="G6" s="141">
        <f>'CALC | FCAST | HOURS'!G6/'INPUT | SEGMENTATION'!$F$8</f>
        <v>0.33600492669382315</v>
      </c>
      <c r="H6" s="141">
        <f>'CALC | FCAST | HOURS'!H6/'INPUT | SEGMENTATION'!$F$8</f>
        <v>0.4099677342091278</v>
      </c>
      <c r="I6" s="144">
        <f>'CALC | FCAST | HOURS'!I6/'INPUT | SEGMENTATION'!$F$8</f>
        <v>10.355210683653439</v>
      </c>
      <c r="K6" s="106" t="s">
        <v>41</v>
      </c>
      <c r="L6" s="140">
        <f>'CALC | FCAST | HOURS'!L6/'INPUT | SEGMENTATION'!$F$9</f>
        <v>0</v>
      </c>
      <c r="M6" s="141">
        <f>'CALC | FCAST | HOURS'!M6/'INPUT | SEGMENTATION'!$F$9</f>
        <v>5.5047857885883031</v>
      </c>
      <c r="N6" s="141">
        <f>'CALC | FCAST | HOURS'!N6/'INPUT | SEGMENTATION'!$F$9</f>
        <v>1.6946482088696522</v>
      </c>
      <c r="O6" s="141">
        <f>'CALC | FCAST | HOURS'!O6/'INPUT | SEGMENTATION'!$F$9</f>
        <v>0.6714076814737503</v>
      </c>
      <c r="P6" s="141">
        <f>'CALC | FCAST | HOURS'!P6/'INPUT | SEGMENTATION'!$F$9</f>
        <v>0.27521865678493723</v>
      </c>
      <c r="Q6" s="141">
        <f>'CALC | FCAST | HOURS'!Q6/'INPUT | SEGMENTATION'!$F$9</f>
        <v>0.3358009367434508</v>
      </c>
      <c r="R6" s="150">
        <f>'CALC | FCAST | HOURS'!R6/'INPUT | SEGMENTATION'!$F$9</f>
        <v>8.4818612724600939</v>
      </c>
    </row>
    <row r="7" spans="2:18" x14ac:dyDescent="0.25">
      <c r="B7" s="2" t="s">
        <v>39</v>
      </c>
      <c r="C7" s="140">
        <f>'CALC | FCAST | HOURS'!C7/'INPUT | SEGMENTATION'!$F$8</f>
        <v>0</v>
      </c>
      <c r="D7" s="141">
        <f>'CALC | FCAST | HOURS'!D7/'INPUT | SEGMENTATION'!$F$8</f>
        <v>4.3179869954176748</v>
      </c>
      <c r="E7" s="141">
        <f>'CALC | FCAST | HOURS'!E7/'INPUT | SEGMENTATION'!$F$8</f>
        <v>1.9735146240200503</v>
      </c>
      <c r="F7" s="141">
        <f>'CALC | FCAST | HOURS'!F7/'INPUT | SEGMENTATION'!$F$8</f>
        <v>0.67657644568194053</v>
      </c>
      <c r="G7" s="141">
        <f>'CALC | FCAST | HOURS'!G7/'INPUT | SEGMENTATION'!$F$8</f>
        <v>0.52671042562815518</v>
      </c>
      <c r="H7" s="141">
        <f>'CALC | FCAST | HOURS'!H7/'INPUT | SEGMENTATION'!$F$8</f>
        <v>0.56764763198186918</v>
      </c>
      <c r="I7" s="144">
        <f>'CALC | FCAST | HOURS'!I7/'INPUT | SEGMENTATION'!$F$8</f>
        <v>8.0624361227296895</v>
      </c>
      <c r="K7" s="2" t="s">
        <v>39</v>
      </c>
      <c r="L7" s="140">
        <f>'CALC | FCAST | HOURS'!L7/'INPUT | SEGMENTATION'!$F$9</f>
        <v>0</v>
      </c>
      <c r="M7" s="141">
        <f>'CALC | FCAST | HOURS'!M7/'INPUT | SEGMENTATION'!$F$9</f>
        <v>3.5368248691679853</v>
      </c>
      <c r="N7" s="141">
        <f>'CALC | FCAST | HOURS'!N7/'INPUT | SEGMENTATION'!$F$9</f>
        <v>1.6164883334081586</v>
      </c>
      <c r="O7" s="141">
        <f>'CALC | FCAST | HOURS'!O7/'INPUT | SEGMENTATION'!$F$9</f>
        <v>0.55417776883547643</v>
      </c>
      <c r="P7" s="141">
        <f>'CALC | FCAST | HOURS'!P7/'INPUT | SEGMENTATION'!$F$9</f>
        <v>0.43142384036557729</v>
      </c>
      <c r="Q7" s="141">
        <f>'CALC | FCAST | HOURS'!Q7/'INPUT | SEGMENTATION'!$F$9</f>
        <v>0.46495514318323949</v>
      </c>
      <c r="R7" s="150">
        <f>'CALC | FCAST | HOURS'!R7/'INPUT | SEGMENTATION'!$F$9</f>
        <v>6.6038699549604365</v>
      </c>
    </row>
    <row r="8" spans="2:18" x14ac:dyDescent="0.25">
      <c r="B8" s="2" t="s">
        <v>40</v>
      </c>
      <c r="C8" s="140">
        <f>'CALC | FCAST | HOURS'!C8/'INPUT | SEGMENTATION'!$F$8</f>
        <v>0</v>
      </c>
      <c r="D8" s="141">
        <f>'CALC | FCAST | HOURS'!D8/'INPUT | SEGMENTATION'!$F$8</f>
        <v>3.9483538674052667</v>
      </c>
      <c r="E8" s="141">
        <f>'CALC | FCAST | HOURS'!E8/'INPUT | SEGMENTATION'!$F$8</f>
        <v>1.0713365101823131</v>
      </c>
      <c r="F8" s="141">
        <f>'CALC | FCAST | HOURS'!F8/'INPUT | SEGMENTATION'!$F$8</f>
        <v>0.37081593657567902</v>
      </c>
      <c r="G8" s="141">
        <f>'CALC | FCAST | HOURS'!G8/'INPUT | SEGMENTATION'!$F$8</f>
        <v>0.28151764128401396</v>
      </c>
      <c r="H8" s="141">
        <f>'CALC | FCAST | HOURS'!H8/'INPUT | SEGMENTATION'!$F$8</f>
        <v>0.28382381599093459</v>
      </c>
      <c r="I8" s="144">
        <f>'CALC | FCAST | HOURS'!I8/'INPUT | SEGMENTATION'!$F$8</f>
        <v>5.955847771438207</v>
      </c>
      <c r="K8" s="2" t="s">
        <v>40</v>
      </c>
      <c r="L8" s="140">
        <f>'CALC | FCAST | HOURS'!L8/'INPUT | SEGMENTATION'!$F$9</f>
        <v>0</v>
      </c>
      <c r="M8" s="141">
        <f>'CALC | FCAST | HOURS'!M8/'INPUT | SEGMENTATION'!$F$9</f>
        <v>3.2340616507956281</v>
      </c>
      <c r="N8" s="141">
        <f>'CALC | FCAST | HOURS'!N8/'INPUT | SEGMENTATION'!$F$9</f>
        <v>0.87752223813585761</v>
      </c>
      <c r="O8" s="141">
        <f>'CALC | FCAST | HOURS'!O8/'INPUT | SEGMENTATION'!$F$9</f>
        <v>0.30373204638098233</v>
      </c>
      <c r="P8" s="141">
        <f>'CALC | FCAST | HOURS'!P8/'INPUT | SEGMENTATION'!$F$9</f>
        <v>0.23058860433332579</v>
      </c>
      <c r="Q8" s="141">
        <f>'CALC | FCAST | HOURS'!Q8/'INPUT | SEGMENTATION'!$F$9</f>
        <v>0.23247757159161975</v>
      </c>
      <c r="R8" s="150">
        <f>'CALC | FCAST | HOURS'!R8/'INPUT | SEGMENTATION'!$F$9</f>
        <v>4.8783821112374133</v>
      </c>
    </row>
    <row r="9" spans="2:18" x14ac:dyDescent="0.25">
      <c r="B9" s="2" t="s">
        <v>42</v>
      </c>
      <c r="C9" s="140">
        <f>'CALC | FCAST | HOURS'!C9/'INPUT | SEGMENTATION'!$F$8</f>
        <v>0</v>
      </c>
      <c r="D9" s="141">
        <f>'CALC | FCAST | HOURS'!D9/'INPUT | SEGMENTATION'!$F$8</f>
        <v>2.6882409309993305</v>
      </c>
      <c r="E9" s="141">
        <f>'CALC | FCAST | HOURS'!E9/'INPUT | SEGMENTATION'!$F$8</f>
        <v>1.1277226422971718</v>
      </c>
      <c r="F9" s="141">
        <f>'CALC | FCAST | HOURS'!F9/'INPUT | SEGMENTATION'!$F$8</f>
        <v>0.56598221898393108</v>
      </c>
      <c r="G9" s="141">
        <f>'CALC | FCAST | HOURS'!G9/'INPUT | SEGMENTATION'!$F$8</f>
        <v>0.29968006975395034</v>
      </c>
      <c r="H9" s="141">
        <f>'CALC | FCAST | HOURS'!H9/'INPUT | SEGMENTATION'!$F$8</f>
        <v>0.2522878364363863</v>
      </c>
      <c r="I9" s="144">
        <f>'CALC | FCAST | HOURS'!I9/'INPUT | SEGMENTATION'!$F$8</f>
        <v>4.9339136984707697</v>
      </c>
      <c r="K9" s="2" t="s">
        <v>42</v>
      </c>
      <c r="L9" s="140">
        <f>'CALC | FCAST | HOURS'!L9/'INPUT | SEGMENTATION'!$F$9</f>
        <v>0</v>
      </c>
      <c r="M9" s="141">
        <f>'CALC | FCAST | HOURS'!M9/'INPUT | SEGMENTATION'!$F$9</f>
        <v>2.2019143154353213</v>
      </c>
      <c r="N9" s="141">
        <f>'CALC | FCAST | HOURS'!N9/'INPUT | SEGMENTATION'!$F$9</f>
        <v>0.92370761909037646</v>
      </c>
      <c r="O9" s="141">
        <f>'CALC | FCAST | HOURS'!O9/'INPUT | SEGMENTATION'!$F$9</f>
        <v>0.46359101816044668</v>
      </c>
      <c r="P9" s="141">
        <f>'CALC | FCAST | HOURS'!P9/'INPUT | SEGMENTATION'!$F$9</f>
        <v>0.2454652884838629</v>
      </c>
      <c r="Q9" s="141">
        <f>'CALC | FCAST | HOURS'!Q9/'INPUT | SEGMENTATION'!$F$9</f>
        <v>0.20664673030366201</v>
      </c>
      <c r="R9" s="150">
        <f>'CALC | FCAST | HOURS'!R9/'INPUT | SEGMENTATION'!$F$9</f>
        <v>4.041324971473669</v>
      </c>
    </row>
    <row r="10" spans="2:18" x14ac:dyDescent="0.25">
      <c r="B10" s="145" t="s">
        <v>30</v>
      </c>
      <c r="C10" s="142">
        <f>'CALC | FCAST | HOURS'!C10/'INPUT | SEGMENTATION'!$F$8</f>
        <v>0</v>
      </c>
      <c r="D10" s="143">
        <f>'CALC | FCAST | HOURS'!D10/'INPUT | SEGMENTATION'!$F$8</f>
        <v>17.675184121320598</v>
      </c>
      <c r="E10" s="143">
        <f>'CALC | FCAST | HOURS'!E10/'INPUT | SEGMENTATION'!$F$8</f>
        <v>6.2415110856370388</v>
      </c>
      <c r="F10" s="143">
        <f>'CALC | FCAST | HOURS'!F10/'INPUT | SEGMENTATION'!$F$8</f>
        <v>2.4330729873562098</v>
      </c>
      <c r="G10" s="143">
        <f>'CALC | FCAST | HOURS'!G10/'INPUT | SEGMENTATION'!$F$8</f>
        <v>1.4439130633599426</v>
      </c>
      <c r="H10" s="143">
        <f>'CALC | FCAST | HOURS'!H10/'INPUT | SEGMENTATION'!$F$8</f>
        <v>1.5137270186183183</v>
      </c>
      <c r="I10" s="142">
        <f>'CALC | FCAST | HOURS'!I10/'INPUT | SEGMENTATION'!$F$8</f>
        <v>29.307408276292108</v>
      </c>
      <c r="K10" s="152" t="s">
        <v>30</v>
      </c>
      <c r="L10" s="151">
        <f>'CALC | FCAST | HOURS'!L10/'INPUT | SEGMENTATION'!$F$9</f>
        <v>0</v>
      </c>
      <c r="M10" s="153">
        <f>'CALC | FCAST | HOURS'!M10/'INPUT | SEGMENTATION'!$F$9</f>
        <v>14.477586623987238</v>
      </c>
      <c r="N10" s="153">
        <f>'CALC | FCAST | HOURS'!N10/'INPUT | SEGMENTATION'!$F$9</f>
        <v>5.1123663995040447</v>
      </c>
      <c r="O10" s="153">
        <f>'CALC | FCAST | HOURS'!O10/'INPUT | SEGMENTATION'!$F$9</f>
        <v>1.992908514850656</v>
      </c>
      <c r="P10" s="153">
        <f>'CALC | FCAST | HOURS'!P10/'INPUT | SEGMENTATION'!$F$9</f>
        <v>1.1826963899677032</v>
      </c>
      <c r="Q10" s="153">
        <f>'CALC | FCAST | HOURS'!Q10/'INPUT | SEGMENTATION'!$F$9</f>
        <v>1.2398803818219721</v>
      </c>
      <c r="R10" s="151">
        <f>'CALC | FCAST | HOURS'!R10/'INPUT | SEGMENTATION'!$F$9</f>
        <v>24.005438310131616</v>
      </c>
    </row>
    <row r="12" spans="2:18" x14ac:dyDescent="0.25">
      <c r="B12" s="204" t="s">
        <v>48</v>
      </c>
      <c r="C12" s="204"/>
      <c r="D12" s="204"/>
      <c r="E12" s="204"/>
      <c r="F12" s="204"/>
      <c r="G12" s="204"/>
      <c r="H12" s="204"/>
      <c r="I12" s="204"/>
      <c r="K12" s="212" t="s">
        <v>49</v>
      </c>
      <c r="L12" s="212"/>
      <c r="M12" s="212"/>
      <c r="N12" s="212"/>
      <c r="O12" s="212"/>
      <c r="P12" s="212"/>
      <c r="Q12" s="212"/>
      <c r="R12" s="212"/>
    </row>
    <row r="14" spans="2:18" x14ac:dyDescent="0.25">
      <c r="C14" s="213" t="s">
        <v>56</v>
      </c>
      <c r="D14" s="214"/>
      <c r="E14" s="214"/>
      <c r="F14" s="214"/>
      <c r="G14" s="214"/>
      <c r="H14" s="214"/>
      <c r="I14" s="214"/>
      <c r="L14" s="215" t="s">
        <v>56</v>
      </c>
      <c r="M14" s="216"/>
      <c r="N14" s="216"/>
      <c r="O14" s="216"/>
      <c r="P14" s="216"/>
      <c r="Q14" s="216"/>
      <c r="R14" s="216"/>
    </row>
    <row r="15" spans="2:18"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18" x14ac:dyDescent="0.25">
      <c r="B16" s="106" t="s">
        <v>41</v>
      </c>
      <c r="C16" s="140">
        <f>'CALC | FCAST | HOURS'!C16/'INPUT | SEGMENTATION'!$F$10</f>
        <v>0</v>
      </c>
      <c r="D16" s="141">
        <f>'CALC | FCAST | HOURS'!D16/'INPUT | SEGMENTATION'!$F$10</f>
        <v>59.103638249064232</v>
      </c>
      <c r="E16" s="141">
        <f>'CALC | FCAST | HOURS'!E16/'INPUT | SEGMENTATION'!$F$10</f>
        <v>18.195054002663102</v>
      </c>
      <c r="F16" s="141">
        <f>'CALC | FCAST | HOURS'!F16/'INPUT | SEGMENTATION'!$F$10</f>
        <v>7.2087522108002062</v>
      </c>
      <c r="G16" s="141">
        <f>'CALC | FCAST | HOURS'!G16/'INPUT | SEGMENTATION'!$F$10</f>
        <v>2.9549603844224803</v>
      </c>
      <c r="H16" s="141">
        <f>'CALC | FCAST | HOURS'!H16/'INPUT | SEGMENTATION'!$F$10</f>
        <v>3.6054186032317119</v>
      </c>
      <c r="I16" s="149">
        <f>'CALC | FCAST | HOURS'!I16/'INPUT | SEGMENTATION'!$F$10</f>
        <v>91.067823450181734</v>
      </c>
      <c r="K16" s="106" t="s">
        <v>41</v>
      </c>
      <c r="L16" s="140">
        <f>'CALC | FCAST | HOURS'!L16/'INPUT | SEGMENTATION'!$F$11</f>
        <v>0</v>
      </c>
      <c r="M16" s="141">
        <f>'CALC | FCAST | HOURS'!M16/'INPUT | SEGMENTATION'!$F$11</f>
        <v>258.6195451259461</v>
      </c>
      <c r="N16" s="141">
        <f>'CALC | FCAST | HOURS'!N16/'INPUT | SEGMENTATION'!$F$11</f>
        <v>79.616022449942136</v>
      </c>
      <c r="O16" s="141">
        <f>'CALC | FCAST | HOURS'!O16/'INPUT | SEGMENTATION'!$F$11</f>
        <v>31.543307195853121</v>
      </c>
      <c r="P16" s="141">
        <f>'CALC | FCAST | HOURS'!P16/'INPUT | SEGMENTATION'!$F$11</f>
        <v>12.930007917010627</v>
      </c>
      <c r="Q16" s="141">
        <f>'CALC | FCAST | HOURS'!Q16/'INPUT | SEGMENTATION'!$F$11</f>
        <v>15.776215251371131</v>
      </c>
      <c r="R16" s="157">
        <f>'CALC | FCAST | HOURS'!R16/'INPUT | SEGMENTATION'!$F$11</f>
        <v>398.48509794012313</v>
      </c>
    </row>
    <row r="17" spans="2:18" x14ac:dyDescent="0.25">
      <c r="B17" s="2" t="s">
        <v>39</v>
      </c>
      <c r="C17" s="140">
        <f>'CALC | FCAST | HOURS'!C17/'INPUT | SEGMENTATION'!$F$10</f>
        <v>0</v>
      </c>
      <c r="D17" s="141">
        <f>'CALC | FCAST | HOURS'!D17/'INPUT | SEGMENTATION'!$F$10</f>
        <v>37.974087575023773</v>
      </c>
      <c r="E17" s="141">
        <f>'CALC | FCAST | HOURS'!E17/'INPUT | SEGMENTATION'!$F$10</f>
        <v>17.355869122037131</v>
      </c>
      <c r="F17" s="141">
        <f>'CALC | FCAST | HOURS'!F17/'INPUT | SEGMENTATION'!$F$10</f>
        <v>5.9500811898668369</v>
      </c>
      <c r="G17" s="141">
        <f>'CALC | FCAST | HOURS'!G17/'INPUT | SEGMENTATION'!$F$10</f>
        <v>4.6321000620676722</v>
      </c>
      <c r="H17" s="141">
        <f>'CALC | FCAST | HOURS'!H17/'INPUT | SEGMENTATION'!$F$10</f>
        <v>4.9921180660131386</v>
      </c>
      <c r="I17" s="149">
        <f>'CALC | FCAST | HOURS'!I17/'INPUT | SEGMENTATION'!$F$10</f>
        <v>70.904256015008556</v>
      </c>
      <c r="K17" s="2" t="s">
        <v>39</v>
      </c>
      <c r="L17" s="140">
        <f>'CALC | FCAST | HOURS'!L17/'INPUT | SEGMENTATION'!$F$11</f>
        <v>0</v>
      </c>
      <c r="M17" s="141">
        <f>'CALC | FCAST | HOURS'!M17/'INPUT | SEGMENTATION'!$F$11</f>
        <v>166.16305774342041</v>
      </c>
      <c r="N17" s="141">
        <f>'CALC | FCAST | HOURS'!N17/'INPUT | SEGMENTATION'!$F$11</f>
        <v>75.94400464302656</v>
      </c>
      <c r="O17" s="141">
        <f>'CALC | FCAST | HOURS'!O17/'INPUT | SEGMENTATION'!$F$11</f>
        <v>26.035745621974005</v>
      </c>
      <c r="P17" s="141">
        <f>'CALC | FCAST | HOURS'!P17/'INPUT | SEGMENTATION'!$F$11</f>
        <v>20.268661059097742</v>
      </c>
      <c r="Q17" s="141">
        <f>'CALC | FCAST | HOURS'!Q17/'INPUT | SEGMENTATION'!$F$11</f>
        <v>21.843990348052333</v>
      </c>
      <c r="R17" s="157">
        <f>'CALC | FCAST | HOURS'!R17/'INPUT | SEGMENTATION'!$F$11</f>
        <v>310.25545941557101</v>
      </c>
    </row>
    <row r="18" spans="2:18" x14ac:dyDescent="0.25">
      <c r="B18" s="2" t="s">
        <v>40</v>
      </c>
      <c r="C18" s="140">
        <f>'CALC | FCAST | HOURS'!C18/'INPUT | SEGMENTATION'!$F$10</f>
        <v>0</v>
      </c>
      <c r="D18" s="141">
        <f>'CALC | FCAST | HOURS'!D18/'INPUT | SEGMENTATION'!$F$10</f>
        <v>34.723387471325239</v>
      </c>
      <c r="E18" s="141">
        <f>'CALC | FCAST | HOURS'!E18/'INPUT | SEGMENTATION'!$F$10</f>
        <v>9.4217575233915856</v>
      </c>
      <c r="F18" s="141">
        <f>'CALC | FCAST | HOURS'!F18/'INPUT | SEGMENTATION'!$F$10</f>
        <v>3.2611021906000937</v>
      </c>
      <c r="G18" s="141">
        <f>'CALC | FCAST | HOURS'!G18/'INPUT | SEGMENTATION'!$F$10</f>
        <v>2.4757776193809971</v>
      </c>
      <c r="H18" s="141">
        <f>'CALC | FCAST | HOURS'!H18/'INPUT | SEGMENTATION'!$F$10</f>
        <v>2.4960590330065693</v>
      </c>
      <c r="I18" s="149">
        <f>'CALC | FCAST | HOURS'!I18/'INPUT | SEGMENTATION'!$F$10</f>
        <v>52.37808383770448</v>
      </c>
      <c r="K18" s="2" t="s">
        <v>40</v>
      </c>
      <c r="L18" s="140">
        <f>'CALC | FCAST | HOURS'!L18/'INPUT | SEGMENTATION'!$F$11</f>
        <v>0</v>
      </c>
      <c r="M18" s="141">
        <f>'CALC | FCAST | HOURS'!M18/'INPUT | SEGMENTATION'!$F$11</f>
        <v>151.93898276149335</v>
      </c>
      <c r="N18" s="141">
        <f>'CALC | FCAST | HOURS'!N18/'INPUT | SEGMENTATION'!$F$11</f>
        <v>41.226745377642992</v>
      </c>
      <c r="O18" s="141">
        <f>'CALC | FCAST | HOURS'!O18/'INPUT | SEGMENTATION'!$F$11</f>
        <v>14.269591350504985</v>
      </c>
      <c r="P18" s="141">
        <f>'CALC | FCAST | HOURS'!P18/'INPUT | SEGMENTATION'!$F$11</f>
        <v>10.83324987641431</v>
      </c>
      <c r="Q18" s="141">
        <f>'CALC | FCAST | HOURS'!Q18/'INPUT | SEGMENTATION'!$F$11</f>
        <v>10.921995174026167</v>
      </c>
      <c r="R18" s="157">
        <f>'CALC | FCAST | HOURS'!R18/'INPUT | SEGMENTATION'!$F$11</f>
        <v>229.19056454008177</v>
      </c>
    </row>
    <row r="19" spans="2:18" x14ac:dyDescent="0.25">
      <c r="B19" s="2" t="s">
        <v>42</v>
      </c>
      <c r="C19" s="140">
        <f>'CALC | FCAST | HOURS'!C19/'INPUT | SEGMENTATION'!$F$10</f>
        <v>0</v>
      </c>
      <c r="D19" s="141">
        <f>'CALC | FCAST | HOURS'!D19/'INPUT | SEGMENTATION'!$F$10</f>
        <v>23.641455299625694</v>
      </c>
      <c r="E19" s="141">
        <f>'CALC | FCAST | HOURS'!E19/'INPUT | SEGMENTATION'!$F$10</f>
        <v>9.9176394983069329</v>
      </c>
      <c r="F19" s="141">
        <f>'CALC | FCAST | HOURS'!F19/'INPUT | SEGMENTATION'!$F$10</f>
        <v>4.9774717646001427</v>
      </c>
      <c r="G19" s="141">
        <f>'CALC | FCAST | HOURS'!G19/'INPUT | SEGMENTATION'!$F$10</f>
        <v>2.6355052077281576</v>
      </c>
      <c r="H19" s="141">
        <f>'CALC | FCAST | HOURS'!H19/'INPUT | SEGMENTATION'!$F$10</f>
        <v>2.218719140450284</v>
      </c>
      <c r="I19" s="149">
        <f>'CALC | FCAST | HOURS'!I19/'INPUT | SEGMENTATION'!$F$10</f>
        <v>43.39079091071121</v>
      </c>
      <c r="K19" s="2" t="s">
        <v>42</v>
      </c>
      <c r="L19" s="140">
        <f>'CALC | FCAST | HOURS'!L19/'INPUT | SEGMENTATION'!$F$11</f>
        <v>0</v>
      </c>
      <c r="M19" s="141">
        <f>'CALC | FCAST | HOURS'!M19/'INPUT | SEGMENTATION'!$F$11</f>
        <v>103.44781805037844</v>
      </c>
      <c r="N19" s="141">
        <f>'CALC | FCAST | HOURS'!N19/'INPUT | SEGMENTATION'!$F$11</f>
        <v>43.396574081729462</v>
      </c>
      <c r="O19" s="141">
        <f>'CALC | FCAST | HOURS'!O19/'INPUT | SEGMENTATION'!$F$11</f>
        <v>21.77990258761287</v>
      </c>
      <c r="P19" s="141">
        <f>'CALC | FCAST | HOURS'!P19/'INPUT | SEGMENTATION'!$F$11</f>
        <v>11.532169223279746</v>
      </c>
      <c r="Q19" s="141">
        <f>'CALC | FCAST | HOURS'!Q19/'INPUT | SEGMENTATION'!$F$11</f>
        <v>9.7084401546899262</v>
      </c>
      <c r="R19" s="157">
        <f>'CALC | FCAST | HOURS'!R19/'INPUT | SEGMENTATION'!$F$11</f>
        <v>189.86490409769044</v>
      </c>
    </row>
    <row r="20" spans="2:18" x14ac:dyDescent="0.25">
      <c r="B20" s="146" t="s">
        <v>30</v>
      </c>
      <c r="C20" s="147">
        <f>'CALC | FCAST | HOURS'!C20/'INPUT | SEGMENTATION'!$F$10</f>
        <v>0</v>
      </c>
      <c r="D20" s="148">
        <f>'CALC | FCAST | HOURS'!D20/'INPUT | SEGMENTATION'!$F$10</f>
        <v>155.44256859503895</v>
      </c>
      <c r="E20" s="148">
        <f>'CALC | FCAST | HOURS'!E20/'INPUT | SEGMENTATION'!$F$10</f>
        <v>54.89032014639875</v>
      </c>
      <c r="F20" s="148">
        <f>'CALC | FCAST | HOURS'!F20/'INPUT | SEGMENTATION'!$F$10</f>
        <v>21.39740735586728</v>
      </c>
      <c r="G20" s="148">
        <f>'CALC | FCAST | HOURS'!G20/'INPUT | SEGMENTATION'!$F$10</f>
        <v>12.698343273599308</v>
      </c>
      <c r="H20" s="148">
        <f>'CALC | FCAST | HOURS'!H20/'INPUT | SEGMENTATION'!$F$10</f>
        <v>13.312314842701706</v>
      </c>
      <c r="I20" s="147">
        <f>'CALC | FCAST | HOURS'!I20/'INPUT | SEGMENTATION'!$F$10</f>
        <v>257.74095421360602</v>
      </c>
      <c r="K20" s="154" t="s">
        <v>30</v>
      </c>
      <c r="L20" s="155">
        <f>'CALC | FCAST | HOURS'!L20/'INPUT | SEGMENTATION'!$F$11</f>
        <v>0</v>
      </c>
      <c r="M20" s="156">
        <f>'CALC | FCAST | HOURS'!M20/'INPUT | SEGMENTATION'!$F$11</f>
        <v>680.16940368123835</v>
      </c>
      <c r="N20" s="156">
        <f>'CALC | FCAST | HOURS'!N20/'INPUT | SEGMENTATION'!$F$11</f>
        <v>240.18334655234113</v>
      </c>
      <c r="O20" s="156">
        <f>'CALC | FCAST | HOURS'!O20/'INPUT | SEGMENTATION'!$F$11</f>
        <v>93.628546755944996</v>
      </c>
      <c r="P20" s="156">
        <f>'CALC | FCAST | HOURS'!P20/'INPUT | SEGMENTATION'!$F$11</f>
        <v>55.564088075802431</v>
      </c>
      <c r="Q20" s="156">
        <f>'CALC | FCAST | HOURS'!Q20/'INPUT | SEGMENTATION'!$F$11</f>
        <v>58.250640928139561</v>
      </c>
      <c r="R20" s="155">
        <f>'CALC | FCAST | HOURS'!R20/'INPUT | SEGMENTATION'!$F$11</f>
        <v>1127.7960259934664</v>
      </c>
    </row>
  </sheetData>
  <mergeCells count="8">
    <mergeCell ref="C14:I14"/>
    <mergeCell ref="L14:R14"/>
    <mergeCell ref="B2:I2"/>
    <mergeCell ref="K2:R2"/>
    <mergeCell ref="C4:I4"/>
    <mergeCell ref="L4:R4"/>
    <mergeCell ref="B12:I12"/>
    <mergeCell ref="K12:R1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09C9-2722-4E7E-8C21-9E0BD742962A}">
  <sheetPr>
    <tabColor rgb="FF293894"/>
  </sheetPr>
  <dimension ref="B2:R30"/>
  <sheetViews>
    <sheetView workbookViewId="0">
      <selection activeCell="B25" sqref="B25"/>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16384" width="9.140625" style="2"/>
  </cols>
  <sheetData>
    <row r="2" spans="2:18" x14ac:dyDescent="0.25">
      <c r="B2" s="217" t="s">
        <v>46</v>
      </c>
      <c r="C2" s="217"/>
      <c r="D2" s="217"/>
      <c r="E2" s="217"/>
      <c r="F2" s="217"/>
      <c r="G2" s="217"/>
      <c r="H2" s="217"/>
      <c r="I2" s="217"/>
      <c r="K2" s="218" t="s">
        <v>47</v>
      </c>
      <c r="L2" s="218"/>
      <c r="M2" s="218"/>
      <c r="N2" s="218"/>
      <c r="O2" s="218"/>
      <c r="P2" s="218"/>
      <c r="Q2" s="218"/>
      <c r="R2" s="218"/>
    </row>
    <row r="4" spans="2:18" x14ac:dyDescent="0.25">
      <c r="C4" s="220" t="s">
        <v>56</v>
      </c>
      <c r="D4" s="221"/>
      <c r="E4" s="221"/>
      <c r="F4" s="221"/>
      <c r="G4" s="221"/>
      <c r="H4" s="221"/>
      <c r="I4" s="221"/>
      <c r="L4" s="222" t="s">
        <v>56</v>
      </c>
      <c r="M4" s="223"/>
      <c r="N4" s="223"/>
      <c r="O4" s="223"/>
      <c r="P4" s="223"/>
      <c r="Q4" s="223"/>
      <c r="R4" s="223"/>
    </row>
    <row r="5" spans="2:18"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row>
    <row r="6" spans="2:18" x14ac:dyDescent="0.25">
      <c r="B6" s="106" t="s">
        <v>41</v>
      </c>
      <c r="C6" s="133">
        <f>('OUTPUT | BLINE | HR PER PT'!C6-'OUTPUT | FCAST | HR PER PT'!C6)*'INPUT | SEGMENTATION'!$F$8</f>
        <v>0</v>
      </c>
      <c r="D6" s="129">
        <f>('OUTPUT | BLINE | HR PER PT'!D6-'OUTPUT | FCAST | HR PER PT'!D6)*'INPUT | SEGMENTATION'!$F$8</f>
        <v>44427.744581461127</v>
      </c>
      <c r="E6" s="129">
        <f>('OUTPUT | BLINE | HR PER PT'!E6-'OUTPUT | FCAST | HR PER PT'!E6)*'INPUT | SEGMENTATION'!$F$8</f>
        <v>13677.080393422406</v>
      </c>
      <c r="F6" s="129">
        <f>('OUTPUT | BLINE | HR PER PT'!F6-'OUTPUT | FCAST | HR PER PT'!F6)*'INPUT | SEGMENTATION'!$F$8</f>
        <v>5418.7628961664714</v>
      </c>
      <c r="G6" s="129">
        <f>('OUTPUT | BLINE | HR PER PT'!G6-'OUTPUT | FCAST | HR PER PT'!G6)*'INPUT | SEGMENTATION'!$F$8</f>
        <v>2221.2207081775846</v>
      </c>
      <c r="H6" s="129">
        <f>('OUTPUT | BLINE | HR PER PT'!H6-'OUTPUT | FCAST | HR PER PT'!H6)*'INPUT | SEGMENTATION'!$F$8</f>
        <v>2710.1650855844537</v>
      </c>
      <c r="I6" s="158">
        <f>('OUTPUT | BLINE | HR PER PT'!I6-'OUTPUT | FCAST | HR PER PT'!I6)*'INPUT | SEGMENTATION'!$F$8</f>
        <v>68454.973664812336</v>
      </c>
      <c r="K6" s="106" t="s">
        <v>41</v>
      </c>
      <c r="L6" s="133">
        <f>('OUTPUT | BLINE | HR PER PT'!L6-'OUTPUT | FCAST | HR PER PT'!L6)*'INPUT | SEGMENTATION'!$F$9</f>
        <v>0</v>
      </c>
      <c r="M6" s="129">
        <f>('OUTPUT | BLINE | HR PER PT'!M6-'OUTPUT | FCAST | HR PER PT'!M6)*'INPUT | SEGMENTATION'!$F$9</f>
        <v>279522.94080041617</v>
      </c>
      <c r="N6" s="129">
        <f>('OUTPUT | BLINE | HR PER PT'!N6-'OUTPUT | FCAST | HR PER PT'!N6)*'INPUT | SEGMENTATION'!$F$9</f>
        <v>86051.13244322651</v>
      </c>
      <c r="O6" s="129">
        <f>('OUTPUT | BLINE | HR PER PT'!O6-'OUTPUT | FCAST | HR PER PT'!O6)*'INPUT | SEGMENTATION'!$F$9</f>
        <v>34092.852439524395</v>
      </c>
      <c r="P6" s="129">
        <f>('OUTPUT | BLINE | HR PER PT'!P6-'OUTPUT | FCAST | HR PER PT'!P6)*'INPUT | SEGMENTATION'!$F$9</f>
        <v>13975.099352121162</v>
      </c>
      <c r="Q6" s="129">
        <f>('OUTPUT | BLINE | HR PER PT'!Q6-'OUTPUT | FCAST | HR PER PT'!Q6)*'INPUT | SEGMENTATION'!$F$9</f>
        <v>17051.356577153081</v>
      </c>
      <c r="R6" s="161">
        <f>('OUTPUT | BLINE | HR PER PT'!R6-'OUTPUT | FCAST | HR PER PT'!R6)*'INPUT | SEGMENTATION'!$F$9</f>
        <v>430693.38161244115</v>
      </c>
    </row>
    <row r="7" spans="2:18" x14ac:dyDescent="0.25">
      <c r="B7" s="2" t="s">
        <v>39</v>
      </c>
      <c r="C7" s="133">
        <f>('OUTPUT | BLINE | HR PER PT'!C7-'OUTPUT | FCAST | HR PER PT'!C7)*'INPUT | SEGMENTATION'!$F$8</f>
        <v>0</v>
      </c>
      <c r="D7" s="129">
        <f>('OUTPUT | BLINE | HR PER PT'!D7-'OUTPUT | FCAST | HR PER PT'!D7)*'INPUT | SEGMENTATION'!$F$8</f>
        <v>28544.825893589015</v>
      </c>
      <c r="E7" s="129">
        <f>('OUTPUT | BLINE | HR PER PT'!E7-'OUTPUT | FCAST | HR PER PT'!E7)*'INPUT | SEGMENTATION'!$F$8</f>
        <v>13046.27165410318</v>
      </c>
      <c r="F7" s="129">
        <f>('OUTPUT | BLINE | HR PER PT'!F7-'OUTPUT | FCAST | HR PER PT'!F7)*'INPUT | SEGMENTATION'!$F$8</f>
        <v>4472.6296920739205</v>
      </c>
      <c r="G7" s="129">
        <f>('OUTPUT | BLINE | HR PER PT'!G7-'OUTPUT | FCAST | HR PER PT'!G7)*'INPUT | SEGMENTATION'!$F$8</f>
        <v>3481.9135425486679</v>
      </c>
      <c r="H7" s="129">
        <f>('OUTPUT | BLINE | HR PER PT'!H7-'OUTPUT | FCAST | HR PER PT'!H7)*'INPUT | SEGMENTATION'!$F$8</f>
        <v>3752.5362723477078</v>
      </c>
      <c r="I7" s="158">
        <f>('OUTPUT | BLINE | HR PER PT'!I7-'OUTPUT | FCAST | HR PER PT'!I7)*'INPUT | SEGMENTATION'!$F$8</f>
        <v>53298.177054662585</v>
      </c>
      <c r="K7" s="2" t="s">
        <v>39</v>
      </c>
      <c r="L7" s="133">
        <f>('OUTPUT | BLINE | HR PER PT'!L7-'OUTPUT | FCAST | HR PER PT'!L7)*'INPUT | SEGMENTATION'!$F$9</f>
        <v>0</v>
      </c>
      <c r="M7" s="129">
        <f>('OUTPUT | BLINE | HR PER PT'!M7-'OUTPUT | FCAST | HR PER PT'!M7)*'INPUT | SEGMENTATION'!$F$9</f>
        <v>179593.48946426756</v>
      </c>
      <c r="N7" s="129">
        <f>('OUTPUT | BLINE | HR PER PT'!N7-'OUTPUT | FCAST | HR PER PT'!N7)*'INPUT | SEGMENTATION'!$F$9</f>
        <v>82082.317110415272</v>
      </c>
      <c r="O7" s="129">
        <f>('OUTPUT | BLINE | HR PER PT'!O7-'OUTPUT | FCAST | HR PER PT'!O7)*'INPUT | SEGMENTATION'!$F$9</f>
        <v>28140.132172305854</v>
      </c>
      <c r="P7" s="129">
        <f>('OUTPUT | BLINE | HR PER PT'!P7-'OUTPUT | FCAST | HR PER PT'!P7)*'INPUT | SEGMENTATION'!$F$9</f>
        <v>21906.912497919639</v>
      </c>
      <c r="Q7" s="129">
        <f>('OUTPUT | BLINE | HR PER PT'!Q7-'OUTPUT | FCAST | HR PER PT'!Q7)*'INPUT | SEGMENTATION'!$F$9</f>
        <v>23609.570645288881</v>
      </c>
      <c r="R7" s="161">
        <f>('OUTPUT | BLINE | HR PER PT'!R7-'OUTPUT | FCAST | HR PER PT'!R7)*'INPUT | SEGMENTATION'!$F$9</f>
        <v>335332.42189019703</v>
      </c>
    </row>
    <row r="8" spans="2:18" x14ac:dyDescent="0.25">
      <c r="B8" s="2" t="s">
        <v>40</v>
      </c>
      <c r="C8" s="133">
        <f>('OUTPUT | BLINE | HR PER PT'!C8-'OUTPUT | FCAST | HR PER PT'!C8)*'INPUT | SEGMENTATION'!$F$8</f>
        <v>0</v>
      </c>
      <c r="D8" s="129">
        <f>('OUTPUT | BLINE | HR PER PT'!D8-'OUTPUT | FCAST | HR PER PT'!D8)*'INPUT | SEGMENTATION'!$F$8</f>
        <v>26101.299941608304</v>
      </c>
      <c r="E8" s="129">
        <f>('OUTPUT | BLINE | HR PER PT'!E8-'OUTPUT | FCAST | HR PER PT'!E8)*'INPUT | SEGMENTATION'!$F$8</f>
        <v>7082.2617550845753</v>
      </c>
      <c r="F8" s="129">
        <f>('OUTPUT | BLINE | HR PER PT'!F8-'OUTPUT | FCAST | HR PER PT'!F8)*'INPUT | SEGMENTATION'!$F$8</f>
        <v>2451.3451196943538</v>
      </c>
      <c r="G8" s="129">
        <f>('OUTPUT | BLINE | HR PER PT'!G8-'OUTPUT | FCAST | HR PER PT'!G8)*'INPUT | SEGMENTATION'!$F$8</f>
        <v>1861.0227555001386</v>
      </c>
      <c r="H8" s="129">
        <f>('OUTPUT | BLINE | HR PER PT'!H8-'OUTPUT | FCAST | HR PER PT'!H8)*'INPUT | SEGMENTATION'!$F$8</f>
        <v>1876.2681361738539</v>
      </c>
      <c r="I8" s="158">
        <f>('OUTPUT | BLINE | HR PER PT'!I8-'OUTPUT | FCAST | HR PER PT'!I8)*'INPUT | SEGMENTATION'!$F$8</f>
        <v>39372.197708061307</v>
      </c>
      <c r="K8" s="2" t="s">
        <v>40</v>
      </c>
      <c r="L8" s="133">
        <f>('OUTPUT | BLINE | HR PER PT'!L8-'OUTPUT | FCAST | HR PER PT'!L8)*'INPUT | SEGMENTATION'!$F$9</f>
        <v>0</v>
      </c>
      <c r="M8" s="129">
        <f>('OUTPUT | BLINE | HR PER PT'!M8-'OUTPUT | FCAST | HR PER PT'!M8)*'INPUT | SEGMENTATION'!$F$9</f>
        <v>164219.72772024461</v>
      </c>
      <c r="N8" s="129">
        <f>('OUTPUT | BLINE | HR PER PT'!N8-'OUTPUT | FCAST | HR PER PT'!N8)*'INPUT | SEGMENTATION'!$F$9</f>
        <v>44558.972145654036</v>
      </c>
      <c r="O8" s="129">
        <f>('OUTPUT | BLINE | HR PER PT'!O8-'OUTPUT | FCAST | HR PER PT'!O8)*'INPUT | SEGMENTATION'!$F$9</f>
        <v>15422.957055975307</v>
      </c>
      <c r="P8" s="129">
        <f>('OUTPUT | BLINE | HR PER PT'!P8-'OUTPUT | FCAST | HR PER PT'!P8)*'INPUT | SEGMENTATION'!$F$9</f>
        <v>11708.867024750147</v>
      </c>
      <c r="Q8" s="129">
        <f>('OUTPUT | BLINE | HR PER PT'!Q8-'OUTPUT | FCAST | HR PER PT'!Q8)*'INPUT | SEGMENTATION'!$F$9</f>
        <v>11804.78532264444</v>
      </c>
      <c r="R8" s="161">
        <f>('OUTPUT | BLINE | HR PER PT'!R8-'OUTPUT | FCAST | HR PER PT'!R8)*'INPUT | SEGMENTATION'!$F$9</f>
        <v>247715.30926926841</v>
      </c>
    </row>
    <row r="9" spans="2:18" x14ac:dyDescent="0.25">
      <c r="B9" s="2" t="s">
        <v>42</v>
      </c>
      <c r="C9" s="133">
        <f>('OUTPUT | BLINE | HR PER PT'!C9-'OUTPUT | FCAST | HR PER PT'!C9)*'INPUT | SEGMENTATION'!$F$8</f>
        <v>0</v>
      </c>
      <c r="D9" s="129">
        <f>('OUTPUT | BLINE | HR PER PT'!D9-'OUTPUT | FCAST | HR PER PT'!D9)*'INPUT | SEGMENTATION'!$F$8</f>
        <v>17771.097832584499</v>
      </c>
      <c r="E9" s="129">
        <f>('OUTPUT | BLINE | HR PER PT'!E9-'OUTPUT | FCAST | HR PER PT'!E9)*'INPUT | SEGMENTATION'!$F$8</f>
        <v>7455.0123737732101</v>
      </c>
      <c r="F9" s="129">
        <f>('OUTPUT | BLINE | HR PER PT'!F9-'OUTPUT | FCAST | HR PER PT'!F9)*'INPUT | SEGMENTATION'!$F$8</f>
        <v>3741.5267616387473</v>
      </c>
      <c r="G9" s="129">
        <f>('OUTPUT | BLINE | HR PER PT'!G9-'OUTPUT | FCAST | HR PER PT'!G9)*'INPUT | SEGMENTATION'!$F$8</f>
        <v>1981.0887397259435</v>
      </c>
      <c r="H9" s="129">
        <f>('OUTPUT | BLINE | HR PER PT'!H9-'OUTPUT | FCAST | HR PER PT'!H9)*'INPUT | SEGMENTATION'!$F$8</f>
        <v>1667.7938988211999</v>
      </c>
      <c r="I9" s="158">
        <f>('OUTPUT | BLINE | HR PER PT'!I9-'OUTPUT | FCAST | HR PER PT'!I9)*'INPUT | SEGMENTATION'!$F$8</f>
        <v>32616.519606543523</v>
      </c>
      <c r="K9" s="2" t="s">
        <v>42</v>
      </c>
      <c r="L9" s="133">
        <f>('OUTPUT | BLINE | HR PER PT'!L9-'OUTPUT | FCAST | HR PER PT'!L9)*'INPUT | SEGMENTATION'!$F$9</f>
        <v>0</v>
      </c>
      <c r="M9" s="129">
        <f>('OUTPUT | BLINE | HR PER PT'!M9-'OUTPUT | FCAST | HR PER PT'!M9)*'INPUT | SEGMENTATION'!$F$9</f>
        <v>111809.17632016646</v>
      </c>
      <c r="N9" s="129">
        <f>('OUTPUT | BLINE | HR PER PT'!N9-'OUTPUT | FCAST | HR PER PT'!N9)*'INPUT | SEGMENTATION'!$F$9</f>
        <v>46904.181205951543</v>
      </c>
      <c r="O9" s="129">
        <f>('OUTPUT | BLINE | HR PER PT'!O9-'OUTPUT | FCAST | HR PER PT'!O9)*'INPUT | SEGMENTATION'!$F$9</f>
        <v>23540.302874909688</v>
      </c>
      <c r="P9" s="129">
        <f>('OUTPUT | BLINE | HR PER PT'!P9-'OUTPUT | FCAST | HR PER PT'!P9)*'INPUT | SEGMENTATION'!$F$9</f>
        <v>12464.277800540485</v>
      </c>
      <c r="Q9" s="129">
        <f>('OUTPUT | BLINE | HR PER PT'!Q9-'OUTPUT | FCAST | HR PER PT'!Q9)*'INPUT | SEGMENTATION'!$F$9</f>
        <v>10493.142509017271</v>
      </c>
      <c r="R9" s="161">
        <f>('OUTPUT | BLINE | HR PER PT'!R9-'OUTPUT | FCAST | HR PER PT'!R9)*'INPUT | SEGMENTATION'!$F$9</f>
        <v>205211.08071058564</v>
      </c>
    </row>
    <row r="10" spans="2:18" x14ac:dyDescent="0.25">
      <c r="B10" s="145" t="s">
        <v>30</v>
      </c>
      <c r="C10" s="159">
        <f>('OUTPUT | BLINE | HR PER PT'!C10-'OUTPUT | FCAST | HR PER PT'!C10)*'INPUT | SEGMENTATION'!$F$8</f>
        <v>0</v>
      </c>
      <c r="D10" s="160">
        <f>('OUTPUT | BLINE | HR PER PT'!D10-'OUTPUT | FCAST | HR PER PT'!D10)*'INPUT | SEGMENTATION'!$F$8</f>
        <v>116844.9682492432</v>
      </c>
      <c r="E10" s="160">
        <f>('OUTPUT | BLINE | HR PER PT'!E10-'OUTPUT | FCAST | HR PER PT'!E10)*'INPUT | SEGMENTATION'!$F$8</f>
        <v>41260.62617638331</v>
      </c>
      <c r="F10" s="160">
        <f>('OUTPUT | BLINE | HR PER PT'!F10-'OUTPUT | FCAST | HR PER PT'!F10)*'INPUT | SEGMENTATION'!$F$8</f>
        <v>16084.264469573493</v>
      </c>
      <c r="G10" s="160">
        <f>('OUTPUT | BLINE | HR PER PT'!G10-'OUTPUT | FCAST | HR PER PT'!G10)*'INPUT | SEGMENTATION'!$F$8</f>
        <v>9545.2457459523666</v>
      </c>
      <c r="H10" s="160">
        <f>('OUTPUT | BLINE | HR PER PT'!H10-'OUTPUT | FCAST | HR PER PT'!H10)*'INPUT | SEGMENTATION'!$F$8</f>
        <v>10006.763392927136</v>
      </c>
      <c r="I10" s="159">
        <f>('OUTPUT | BLINE | HR PER PT'!I10-'OUTPUT | FCAST | HR PER PT'!I10)*'INPUT | SEGMENTATION'!$F$8</f>
        <v>193741.86803408002</v>
      </c>
      <c r="K10" s="152" t="s">
        <v>30</v>
      </c>
      <c r="L10" s="162">
        <f>('OUTPUT | BLINE | HR PER PT'!L10-'OUTPUT | FCAST | HR PER PT'!L10)*'INPUT | SEGMENTATION'!$F$9</f>
        <v>0</v>
      </c>
      <c r="M10" s="163">
        <f>('OUTPUT | BLINE | HR PER PT'!M10-'OUTPUT | FCAST | HR PER PT'!M10)*'INPUT | SEGMENTATION'!$F$9</f>
        <v>735145.3343050956</v>
      </c>
      <c r="N10" s="163">
        <f>('OUTPUT | BLINE | HR PER PT'!N10-'OUTPUT | FCAST | HR PER PT'!N10)*'INPUT | SEGMENTATION'!$F$9</f>
        <v>259596.60290524748</v>
      </c>
      <c r="O10" s="163">
        <f>('OUTPUT | BLINE | HR PER PT'!O10-'OUTPUT | FCAST | HR PER PT'!O10)*'INPUT | SEGMENTATION'!$F$9</f>
        <v>101196.24454271515</v>
      </c>
      <c r="P10" s="163">
        <f>('OUTPUT | BLINE | HR PER PT'!P10-'OUTPUT | FCAST | HR PER PT'!P10)*'INPUT | SEGMENTATION'!$F$9</f>
        <v>60055.156675331469</v>
      </c>
      <c r="Q10" s="163">
        <f>('OUTPUT | BLINE | HR PER PT'!Q10-'OUTPUT | FCAST | HR PER PT'!Q10)*'INPUT | SEGMENTATION'!$F$9</f>
        <v>62958.855054103682</v>
      </c>
      <c r="R10" s="162">
        <f>('OUTPUT | BLINE | HR PER PT'!R10-'OUTPUT | FCAST | HR PER PT'!R10)*'INPUT | SEGMENTATION'!$F$9</f>
        <v>1218952.1934824921</v>
      </c>
    </row>
    <row r="12" spans="2:18" x14ac:dyDescent="0.25">
      <c r="B12" s="204" t="s">
        <v>48</v>
      </c>
      <c r="C12" s="204"/>
      <c r="D12" s="204"/>
      <c r="E12" s="204"/>
      <c r="F12" s="204"/>
      <c r="G12" s="204"/>
      <c r="H12" s="204"/>
      <c r="I12" s="204"/>
      <c r="K12" s="212" t="s">
        <v>49</v>
      </c>
      <c r="L12" s="212"/>
      <c r="M12" s="212"/>
      <c r="N12" s="212"/>
      <c r="O12" s="212"/>
      <c r="P12" s="212"/>
      <c r="Q12" s="212"/>
      <c r="R12" s="212"/>
    </row>
    <row r="14" spans="2:18" x14ac:dyDescent="0.25">
      <c r="C14" s="213" t="s">
        <v>56</v>
      </c>
      <c r="D14" s="214"/>
      <c r="E14" s="214"/>
      <c r="F14" s="214"/>
      <c r="G14" s="214"/>
      <c r="H14" s="214"/>
      <c r="I14" s="214"/>
      <c r="L14" s="215" t="s">
        <v>56</v>
      </c>
      <c r="M14" s="216"/>
      <c r="N14" s="216"/>
      <c r="O14" s="216"/>
      <c r="P14" s="216"/>
      <c r="Q14" s="216"/>
      <c r="R14" s="216"/>
    </row>
    <row r="15" spans="2:18"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18" x14ac:dyDescent="0.25">
      <c r="B16" s="106" t="s">
        <v>41</v>
      </c>
      <c r="C16" s="133">
        <f>('OUTPUT | BLINE | HR PER PT'!C16-'OUTPUT | FCAST | HR PER PT'!C16)*'INPUT | SEGMENTATION'!$F$10</f>
        <v>0</v>
      </c>
      <c r="D16" s="129">
        <f>('OUTPUT | BLINE | HR PER PT'!D16-'OUTPUT | FCAST | HR PER PT'!D16)*'INPUT | SEGMENTATION'!$F$10</f>
        <v>803098.3958132728</v>
      </c>
      <c r="E16" s="129">
        <f>('OUTPUT | BLINE | HR PER PT'!E16-'OUTPUT | FCAST | HR PER PT'!E16)*'INPUT | SEGMENTATION'!$F$10</f>
        <v>247233.82712410201</v>
      </c>
      <c r="F16" s="129">
        <f>('OUTPUT | BLINE | HR PER PT'!F16-'OUTPUT | FCAST | HR PER PT'!F16)*'INPUT | SEGMENTATION'!$F$10</f>
        <v>97952.30053203518</v>
      </c>
      <c r="G16" s="129">
        <f>('OUTPUT | BLINE | HR PER PT'!G16-'OUTPUT | FCAST | HR PER PT'!G16)*'INPUT | SEGMENTATION'!$F$10</f>
        <v>40151.909674681294</v>
      </c>
      <c r="H16" s="129">
        <f>('OUTPUT | BLINE | HR PER PT'!H16-'OUTPUT | FCAST | HR PER PT'!H16)*'INPUT | SEGMENTATION'!$F$10</f>
        <v>48990.315694086108</v>
      </c>
      <c r="I16" s="164">
        <f>('OUTPUT | BLINE | HR PER PT'!I16-'OUTPUT | FCAST | HR PER PT'!I16)*'INPUT | SEGMENTATION'!$F$10</f>
        <v>1237426.7488381774</v>
      </c>
      <c r="K16" s="106" t="s">
        <v>41</v>
      </c>
      <c r="L16" s="133">
        <f>('OUTPUT | BLINE | HR PER PT'!L16-'OUTPUT | FCAST | HR PER PT'!L16)*'INPUT | SEGMENTATION'!$F$11</f>
        <v>0</v>
      </c>
      <c r="M16" s="129">
        <f>('OUTPUT | BLINE | HR PER PT'!M16-'OUTPUT | FCAST | HR PER PT'!M16)*'INPUT | SEGMENTATION'!$F$11</f>
        <v>987712.03482046816</v>
      </c>
      <c r="N16" s="129">
        <f>('OUTPUT | BLINE | HR PER PT'!N16-'OUTPUT | FCAST | HR PER PT'!N16)*'INPUT | SEGMENTATION'!$F$11</f>
        <v>304067.13266798289</v>
      </c>
      <c r="O16" s="129">
        <f>('OUTPUT | BLINE | HR PER PT'!O16-'OUTPUT | FCAST | HR PER PT'!O16)*'INPUT | SEGMENTATION'!$F$11</f>
        <v>120469.25579507371</v>
      </c>
      <c r="P16" s="129">
        <f>('OUTPUT | BLINE | HR PER PT'!P16-'OUTPUT | FCAST | HR PER PT'!P16)*'INPUT | SEGMENTATION'!$F$11</f>
        <v>49381.899669399994</v>
      </c>
      <c r="Q16" s="129">
        <f>('OUTPUT | BLINE | HR PER PT'!Q16-'OUTPUT | FCAST | HR PER PT'!Q16)*'INPUT | SEGMENTATION'!$F$11</f>
        <v>60252.04962799303</v>
      </c>
      <c r="R16" s="167">
        <f>('OUTPUT | BLINE | HR PER PT'!R16-'OUTPUT | FCAST | HR PER PT'!R16)*'INPUT | SEGMENTATION'!$F$11</f>
        <v>1521882.3725809178</v>
      </c>
    </row>
    <row r="17" spans="2:18" x14ac:dyDescent="0.25">
      <c r="B17" s="2" t="s">
        <v>39</v>
      </c>
      <c r="C17" s="133">
        <f>('OUTPUT | BLINE | HR PER PT'!C17-'OUTPUT | FCAST | HR PER PT'!C17)*'INPUT | SEGMENTATION'!$F$10</f>
        <v>0</v>
      </c>
      <c r="D17" s="129">
        <f>('OUTPUT | BLINE | HR PER PT'!D17-'OUTPUT | FCAST | HR PER PT'!D17)*'INPUT | SEGMENTATION'!$F$10</f>
        <v>515990.71931002795</v>
      </c>
      <c r="E17" s="129">
        <f>('OUTPUT | BLINE | HR PER PT'!E17-'OUTPUT | FCAST | HR PER PT'!E17)*'INPUT | SEGMENTATION'!$F$10</f>
        <v>235831.00910160667</v>
      </c>
      <c r="F17" s="129">
        <f>('OUTPUT | BLINE | HR PER PT'!F17-'OUTPUT | FCAST | HR PER PT'!F17)*'INPUT | SEGMENTATION'!$F$10</f>
        <v>80849.517899457627</v>
      </c>
      <c r="G17" s="129">
        <f>('OUTPUT | BLINE | HR PER PT'!G17-'OUTPUT | FCAST | HR PER PT'!G17)*'INPUT | SEGMENTATION'!$F$10</f>
        <v>62940.831381932847</v>
      </c>
      <c r="H17" s="129">
        <f>('OUTPUT | BLINE | HR PER PT'!H17-'OUTPUT | FCAST | HR PER PT'!H17)*'INPUT | SEGMENTATION'!$F$10</f>
        <v>67832.744807196141</v>
      </c>
      <c r="I17" s="164">
        <f>('OUTPUT | BLINE | HR PER PT'!I17-'OUTPUT | FCAST | HR PER PT'!I17)*'INPUT | SEGMENTATION'!$F$10</f>
        <v>963444.82250022108</v>
      </c>
      <c r="K17" s="2" t="s">
        <v>39</v>
      </c>
      <c r="L17" s="133">
        <f>('OUTPUT | BLINE | HR PER PT'!L17-'OUTPUT | FCAST | HR PER PT'!L17)*'INPUT | SEGMENTATION'!$F$11</f>
        <v>0</v>
      </c>
      <c r="M17" s="129">
        <f>('OUTPUT | BLINE | HR PER PT'!M17-'OUTPUT | FCAST | HR PER PT'!M17)*'INPUT | SEGMENTATION'!$F$11</f>
        <v>634604.98237215087</v>
      </c>
      <c r="N17" s="129">
        <f>('OUTPUT | BLINE | HR PER PT'!N17-'OUTPUT | FCAST | HR PER PT'!N17)*'INPUT | SEGMENTATION'!$F$11</f>
        <v>290043.07204178651</v>
      </c>
      <c r="O17" s="129">
        <f>('OUTPUT | BLINE | HR PER PT'!O17-'OUTPUT | FCAST | HR PER PT'!O17)*'INPUT | SEGMENTATION'!$F$11</f>
        <v>99434.941291171956</v>
      </c>
      <c r="P17" s="129">
        <f>('OUTPUT | BLINE | HR PER PT'!P17-'OUTPUT | FCAST | HR PER PT'!P17)*'INPUT | SEGMENTATION'!$F$11</f>
        <v>77409.464346626992</v>
      </c>
      <c r="Q17" s="129">
        <f>('OUTPUT | BLINE | HR PER PT'!Q17-'OUTPUT | FCAST | HR PER PT'!Q17)*'INPUT | SEGMENTATION'!$F$11</f>
        <v>83425.914869528788</v>
      </c>
      <c r="R17" s="167">
        <f>('OUTPUT | BLINE | HR PER PT'!R17-'OUTPUT | FCAST | HR PER PT'!R17)*'INPUT | SEGMENTATION'!$F$11</f>
        <v>1184918.3749212655</v>
      </c>
    </row>
    <row r="18" spans="2:18" x14ac:dyDescent="0.25">
      <c r="B18" s="2" t="s">
        <v>40</v>
      </c>
      <c r="C18" s="133">
        <f>('OUTPUT | BLINE | HR PER PT'!C18-'OUTPUT | FCAST | HR PER PT'!C18)*'INPUT | SEGMENTATION'!$F$10</f>
        <v>0</v>
      </c>
      <c r="D18" s="129">
        <f>('OUTPUT | BLINE | HR PER PT'!D18-'OUTPUT | FCAST | HR PER PT'!D18)*'INPUT | SEGMENTATION'!$F$10</f>
        <v>471820.30754029774</v>
      </c>
      <c r="E18" s="129">
        <f>('OUTPUT | BLINE | HR PER PT'!E18-'OUTPUT | FCAST | HR PER PT'!E18)*'INPUT | SEGMENTATION'!$F$10</f>
        <v>128022.54779801512</v>
      </c>
      <c r="F18" s="129">
        <f>('OUTPUT | BLINE | HR PER PT'!F18-'OUTPUT | FCAST | HR PER PT'!F18)*'INPUT | SEGMENTATION'!$F$10</f>
        <v>44311.755002587342</v>
      </c>
      <c r="G18" s="129">
        <f>('OUTPUT | BLINE | HR PER PT'!G18-'OUTPUT | FCAST | HR PER PT'!G18)*'INPUT | SEGMENTATION'!$F$10</f>
        <v>33640.789186895156</v>
      </c>
      <c r="H18" s="129">
        <f>('OUTPUT | BLINE | HR PER PT'!H18-'OUTPUT | FCAST | HR PER PT'!H18)*'INPUT | SEGMENTATION'!$F$10</f>
        <v>33916.37240359807</v>
      </c>
      <c r="I18" s="164">
        <f>('OUTPUT | BLINE | HR PER PT'!I18-'OUTPUT | FCAST | HR PER PT'!I18)*'INPUT | SEGMENTATION'!$F$10</f>
        <v>711711.77193139354</v>
      </c>
      <c r="K18" s="2" t="s">
        <v>40</v>
      </c>
      <c r="L18" s="133">
        <f>('OUTPUT | BLINE | HR PER PT'!L18-'OUTPUT | FCAST | HR PER PT'!L18)*'INPUT | SEGMENTATION'!$F$11</f>
        <v>0</v>
      </c>
      <c r="M18" s="129">
        <f>('OUTPUT | BLINE | HR PER PT'!M18-'OUTPUT | FCAST | HR PER PT'!M18)*'INPUT | SEGMENTATION'!$F$11</f>
        <v>580280.82045702497</v>
      </c>
      <c r="N18" s="129">
        <f>('OUTPUT | BLINE | HR PER PT'!N18-'OUTPUT | FCAST | HR PER PT'!N18)*'INPUT | SEGMENTATION'!$F$11</f>
        <v>157451.95339411273</v>
      </c>
      <c r="O18" s="129">
        <f>('OUTPUT | BLINE | HR PER PT'!O18-'OUTPUT | FCAST | HR PER PT'!O18)*'INPUT | SEGMENTATION'!$F$11</f>
        <v>54497.996669200023</v>
      </c>
      <c r="P18" s="129">
        <f>('OUTPUT | BLINE | HR PER PT'!P18-'OUTPUT | FCAST | HR PER PT'!P18)*'INPUT | SEGMENTATION'!$F$11</f>
        <v>41374.024047335122</v>
      </c>
      <c r="Q18" s="129">
        <f>('OUTPUT | BLINE | HR PER PT'!Q18-'OUTPUT | FCAST | HR PER PT'!Q18)*'INPUT | SEGMENTATION'!$F$11</f>
        <v>41712.957434764394</v>
      </c>
      <c r="R18" s="167">
        <f>('OUTPUT | BLINE | HR PER PT'!R18-'OUTPUT | FCAST | HR PER PT'!R18)*'INPUT | SEGMENTATION'!$F$11</f>
        <v>875317.75200243725</v>
      </c>
    </row>
    <row r="19" spans="2:18" x14ac:dyDescent="0.25">
      <c r="B19" s="2" t="s">
        <v>42</v>
      </c>
      <c r="C19" s="133">
        <f>('OUTPUT | BLINE | HR PER PT'!C19-'OUTPUT | FCAST | HR PER PT'!C19)*'INPUT | SEGMENTATION'!$F$10</f>
        <v>0</v>
      </c>
      <c r="D19" s="129">
        <f>('OUTPUT | BLINE | HR PER PT'!D19-'OUTPUT | FCAST | HR PER PT'!D19)*'INPUT | SEGMENTATION'!$F$10</f>
        <v>321239.35832530918</v>
      </c>
      <c r="E19" s="129">
        <f>('OUTPUT | BLINE | HR PER PT'!E19-'OUTPUT | FCAST | HR PER PT'!E19)*'INPUT | SEGMENTATION'!$F$10</f>
        <v>134760.57662948951</v>
      </c>
      <c r="F19" s="129">
        <f>('OUTPUT | BLINE | HR PER PT'!F19-'OUTPUT | FCAST | HR PER PT'!F19)*'INPUT | SEGMENTATION'!$F$10</f>
        <v>67633.731319738581</v>
      </c>
      <c r="G19" s="129">
        <f>('OUTPUT | BLINE | HR PER PT'!G19-'OUTPUT | FCAST | HR PER PT'!G19)*'INPUT | SEGMENTATION'!$F$10</f>
        <v>35811.162682823866</v>
      </c>
      <c r="H19" s="129">
        <f>('OUTPUT | BLINE | HR PER PT'!H19-'OUTPUT | FCAST | HR PER PT'!H19)*'INPUT | SEGMENTATION'!$F$10</f>
        <v>30147.886580976054</v>
      </c>
      <c r="I19" s="164">
        <f>('OUTPUT | BLINE | HR PER PT'!I19-'OUTPUT | FCAST | HR PER PT'!I19)*'INPUT | SEGMENTATION'!$F$10</f>
        <v>589592.71553833713</v>
      </c>
      <c r="K19" s="2" t="s">
        <v>42</v>
      </c>
      <c r="L19" s="133">
        <f>('OUTPUT | BLINE | HR PER PT'!L19-'OUTPUT | FCAST | HR PER PT'!L19)*'INPUT | SEGMENTATION'!$F$11</f>
        <v>0</v>
      </c>
      <c r="M19" s="129">
        <f>('OUTPUT | BLINE | HR PER PT'!M19-'OUTPUT | FCAST | HR PER PT'!M19)*'INPUT | SEGMENTATION'!$F$11</f>
        <v>395084.8139281873</v>
      </c>
      <c r="N19" s="129">
        <f>('OUTPUT | BLINE | HR PER PT'!N19-'OUTPUT | FCAST | HR PER PT'!N19)*'INPUT | SEGMENTATION'!$F$11</f>
        <v>165738.89830959233</v>
      </c>
      <c r="O19" s="129">
        <f>('OUTPUT | BLINE | HR PER PT'!O19-'OUTPUT | FCAST | HR PER PT'!O19)*'INPUT | SEGMENTATION'!$F$11</f>
        <v>83181.152810884218</v>
      </c>
      <c r="P19" s="129">
        <f>('OUTPUT | BLINE | HR PER PT'!P19-'OUTPUT | FCAST | HR PER PT'!P19)*'INPUT | SEGMENTATION'!$F$11</f>
        <v>44043.315921356749</v>
      </c>
      <c r="Q19" s="129">
        <f>('OUTPUT | BLINE | HR PER PT'!Q19-'OUTPUT | FCAST | HR PER PT'!Q19)*'INPUT | SEGMENTATION'!$F$11</f>
        <v>37078.184386457237</v>
      </c>
      <c r="R19" s="167">
        <f>('OUTPUT | BLINE | HR PER PT'!R19-'OUTPUT | FCAST | HR PER PT'!R19)*'INPUT | SEGMENTATION'!$F$11</f>
        <v>725126.36535647791</v>
      </c>
    </row>
    <row r="20" spans="2:18" x14ac:dyDescent="0.25">
      <c r="B20" s="146" t="s">
        <v>30</v>
      </c>
      <c r="C20" s="165">
        <f>('OUTPUT | BLINE | HR PER PT'!C20-'OUTPUT | FCAST | HR PER PT'!C20)*'INPUT | SEGMENTATION'!$F$10</f>
        <v>0</v>
      </c>
      <c r="D20" s="166">
        <f>('OUTPUT | BLINE | HR PER PT'!D20-'OUTPUT | FCAST | HR PER PT'!D20)*'INPUT | SEGMENTATION'!$F$10</f>
        <v>2112148.7809889079</v>
      </c>
      <c r="E20" s="166">
        <f>('OUTPUT | BLINE | HR PER PT'!E20-'OUTPUT | FCAST | HR PER PT'!E20)*'INPUT | SEGMENTATION'!$F$10</f>
        <v>745847.96065321332</v>
      </c>
      <c r="F20" s="166">
        <f>('OUTPUT | BLINE | HR PER PT'!F20-'OUTPUT | FCAST | HR PER PT'!F20)*'INPUT | SEGMENTATION'!$F$10</f>
        <v>290747.30475381878</v>
      </c>
      <c r="G20" s="166">
        <f>('OUTPUT | BLINE | HR PER PT'!G20-'OUTPUT | FCAST | HR PER PT'!G20)*'INPUT | SEGMENTATION'!$F$10</f>
        <v>172544.6929263332</v>
      </c>
      <c r="H20" s="166">
        <f>('OUTPUT | BLINE | HR PER PT'!H20-'OUTPUT | FCAST | HR PER PT'!H20)*'INPUT | SEGMENTATION'!$F$10</f>
        <v>180887.31948585642</v>
      </c>
      <c r="I20" s="165">
        <f>('OUTPUT | BLINE | HR PER PT'!I20-'OUTPUT | FCAST | HR PER PT'!I20)*'INPUT | SEGMENTATION'!$F$10</f>
        <v>3502176.0588081288</v>
      </c>
      <c r="K20" s="154" t="s">
        <v>30</v>
      </c>
      <c r="L20" s="168">
        <f>('OUTPUT | BLINE | HR PER PT'!L20-'OUTPUT | FCAST | HR PER PT'!L20)*'INPUT | SEGMENTATION'!$F$11</f>
        <v>0</v>
      </c>
      <c r="M20" s="169">
        <f>('OUTPUT | BLINE | HR PER PT'!M20-'OUTPUT | FCAST | HR PER PT'!M20)*'INPUT | SEGMENTATION'!$F$11</f>
        <v>2597682.6515778312</v>
      </c>
      <c r="N20" s="169">
        <f>('OUTPUT | BLINE | HR PER PT'!N20-'OUTPUT | FCAST | HR PER PT'!N20)*'INPUT | SEGMENTATION'!$F$11</f>
        <v>917301.05641347449</v>
      </c>
      <c r="O20" s="169">
        <f>('OUTPUT | BLINE | HR PER PT'!O20-'OUTPUT | FCAST | HR PER PT'!O20)*'INPUT | SEGMENTATION'!$F$11</f>
        <v>357583.34656632988</v>
      </c>
      <c r="P20" s="169">
        <f>('OUTPUT | BLINE | HR PER PT'!P20-'OUTPUT | FCAST | HR PER PT'!P20)*'INPUT | SEGMENTATION'!$F$11</f>
        <v>212208.70398471883</v>
      </c>
      <c r="Q20" s="169">
        <f>('OUTPUT | BLINE | HR PER PT'!Q20-'OUTPUT | FCAST | HR PER PT'!Q20)*'INPUT | SEGMENTATION'!$F$11</f>
        <v>222469.10631874349</v>
      </c>
      <c r="R20" s="168">
        <f>('OUTPUT | BLINE | HR PER PT'!R20-'OUTPUT | FCAST | HR PER PT'!R20)*'INPUT | SEGMENTATION'!$F$11</f>
        <v>4307244.8648611</v>
      </c>
    </row>
    <row r="22" spans="2:18" x14ac:dyDescent="0.25">
      <c r="B22" s="229" t="s">
        <v>30</v>
      </c>
      <c r="C22" s="229"/>
      <c r="D22" s="229"/>
      <c r="E22" s="229"/>
      <c r="F22" s="229"/>
      <c r="G22" s="229"/>
      <c r="H22" s="229"/>
      <c r="I22" s="229"/>
    </row>
    <row r="23" spans="2:18" x14ac:dyDescent="0.25">
      <c r="B23" s="108"/>
      <c r="C23" s="108"/>
      <c r="D23" s="108"/>
      <c r="E23" s="108"/>
      <c r="F23" s="108"/>
      <c r="G23" s="108"/>
      <c r="H23" s="108"/>
      <c r="I23" s="108"/>
    </row>
    <row r="24" spans="2:18" x14ac:dyDescent="0.25">
      <c r="B24" s="108"/>
      <c r="C24" s="230" t="s">
        <v>0</v>
      </c>
      <c r="D24" s="231"/>
      <c r="E24" s="231"/>
      <c r="F24" s="231"/>
      <c r="G24" s="231"/>
      <c r="H24" s="231"/>
      <c r="I24" s="231"/>
    </row>
    <row r="25" spans="2:18" x14ac:dyDescent="0.25">
      <c r="B25" s="170" t="s">
        <v>29</v>
      </c>
      <c r="C25" s="171" t="s">
        <v>45</v>
      </c>
      <c r="D25" s="172" t="s">
        <v>21</v>
      </c>
      <c r="E25" s="172" t="s">
        <v>22</v>
      </c>
      <c r="F25" s="172" t="s">
        <v>23</v>
      </c>
      <c r="G25" s="172" t="s">
        <v>24</v>
      </c>
      <c r="H25" s="172" t="s">
        <v>25</v>
      </c>
      <c r="I25" s="173" t="s">
        <v>30</v>
      </c>
    </row>
    <row r="26" spans="2:18" x14ac:dyDescent="0.25">
      <c r="B26" s="174" t="s">
        <v>41</v>
      </c>
      <c r="C26" s="175">
        <f t="shared" ref="C26:I30" si="0">C6+L6+C16+L16</f>
        <v>0</v>
      </c>
      <c r="D26" s="176">
        <f t="shared" si="0"/>
        <v>2114761.1160156182</v>
      </c>
      <c r="E26" s="176">
        <f t="shared" si="0"/>
        <v>651029.1726287338</v>
      </c>
      <c r="F26" s="176">
        <f t="shared" si="0"/>
        <v>257933.17166279978</v>
      </c>
      <c r="G26" s="176">
        <f t="shared" si="0"/>
        <v>105730.12940438004</v>
      </c>
      <c r="H26" s="176">
        <f t="shared" si="0"/>
        <v>129003.88698481667</v>
      </c>
      <c r="I26" s="181">
        <f t="shared" si="0"/>
        <v>3258457.4766963487</v>
      </c>
    </row>
    <row r="27" spans="2:18" x14ac:dyDescent="0.25">
      <c r="B27" s="177" t="s">
        <v>39</v>
      </c>
      <c r="C27" s="175">
        <f t="shared" si="0"/>
        <v>0</v>
      </c>
      <c r="D27" s="176">
        <f t="shared" si="0"/>
        <v>1358734.0170400352</v>
      </c>
      <c r="E27" s="176">
        <f t="shared" si="0"/>
        <v>621002.66990791168</v>
      </c>
      <c r="F27" s="176">
        <f t="shared" si="0"/>
        <v>212897.22105500934</v>
      </c>
      <c r="G27" s="176">
        <f t="shared" si="0"/>
        <v>165739.12176902813</v>
      </c>
      <c r="H27" s="176">
        <f t="shared" si="0"/>
        <v>178620.76659436151</v>
      </c>
      <c r="I27" s="181">
        <f t="shared" si="0"/>
        <v>2536993.7963663461</v>
      </c>
    </row>
    <row r="28" spans="2:18" x14ac:dyDescent="0.25">
      <c r="B28" s="177" t="s">
        <v>40</v>
      </c>
      <c r="C28" s="175">
        <f t="shared" si="0"/>
        <v>0</v>
      </c>
      <c r="D28" s="176">
        <f t="shared" si="0"/>
        <v>1242422.1556591755</v>
      </c>
      <c r="E28" s="176">
        <f t="shared" si="0"/>
        <v>337115.73509286647</v>
      </c>
      <c r="F28" s="176">
        <f t="shared" si="0"/>
        <v>116684.05384745702</v>
      </c>
      <c r="G28" s="176">
        <f t="shared" si="0"/>
        <v>88584.703014480561</v>
      </c>
      <c r="H28" s="176">
        <f t="shared" si="0"/>
        <v>89310.383297180757</v>
      </c>
      <c r="I28" s="181">
        <f t="shared" si="0"/>
        <v>1874117.0309111606</v>
      </c>
    </row>
    <row r="29" spans="2:18" x14ac:dyDescent="0.25">
      <c r="B29" s="177" t="s">
        <v>42</v>
      </c>
      <c r="C29" s="175">
        <f t="shared" si="0"/>
        <v>0</v>
      </c>
      <c r="D29" s="176">
        <f t="shared" si="0"/>
        <v>845904.44640624744</v>
      </c>
      <c r="E29" s="176">
        <f t="shared" si="0"/>
        <v>354858.66851880657</v>
      </c>
      <c r="F29" s="176">
        <f t="shared" si="0"/>
        <v>178096.71376717126</v>
      </c>
      <c r="G29" s="176">
        <f t="shared" si="0"/>
        <v>94299.845144447041</v>
      </c>
      <c r="H29" s="176">
        <f t="shared" si="0"/>
        <v>79387.007375271758</v>
      </c>
      <c r="I29" s="181">
        <f t="shared" si="0"/>
        <v>1552546.6812119442</v>
      </c>
    </row>
    <row r="30" spans="2:18" x14ac:dyDescent="0.25">
      <c r="B30" s="178" t="s">
        <v>30</v>
      </c>
      <c r="C30" s="179">
        <f t="shared" si="0"/>
        <v>0</v>
      </c>
      <c r="D30" s="180">
        <f t="shared" si="0"/>
        <v>5561821.7351210779</v>
      </c>
      <c r="E30" s="180">
        <f t="shared" si="0"/>
        <v>1964006.2461483185</v>
      </c>
      <c r="F30" s="180">
        <f t="shared" si="0"/>
        <v>765611.16033243737</v>
      </c>
      <c r="G30" s="180">
        <f t="shared" si="0"/>
        <v>454353.79933233588</v>
      </c>
      <c r="H30" s="180">
        <f t="shared" si="0"/>
        <v>476322.04425163072</v>
      </c>
      <c r="I30" s="179">
        <f t="shared" si="0"/>
        <v>9222114.985185802</v>
      </c>
    </row>
  </sheetData>
  <mergeCells count="10">
    <mergeCell ref="C14:I14"/>
    <mergeCell ref="L14:R14"/>
    <mergeCell ref="B22:I22"/>
    <mergeCell ref="C24:I24"/>
    <mergeCell ref="B2:I2"/>
    <mergeCell ref="K2:R2"/>
    <mergeCell ref="C4:I4"/>
    <mergeCell ref="L4:R4"/>
    <mergeCell ref="B12:I12"/>
    <mergeCell ref="K12:R12"/>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47EF-C421-41D5-BDD0-8377B8E536E9}">
  <sheetPr>
    <tabColor rgb="FFFFFF00"/>
  </sheetPr>
  <dimension ref="B2:R30"/>
  <sheetViews>
    <sheetView tabSelected="1" workbookViewId="0">
      <selection activeCell="I30" sqref="I30"/>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16384" width="9.140625" style="2"/>
  </cols>
  <sheetData>
    <row r="2" spans="2:18" x14ac:dyDescent="0.25">
      <c r="B2" s="217" t="s">
        <v>46</v>
      </c>
      <c r="C2" s="217"/>
      <c r="D2" s="217"/>
      <c r="E2" s="217"/>
      <c r="F2" s="217"/>
      <c r="G2" s="217"/>
      <c r="H2" s="217"/>
      <c r="I2" s="217"/>
      <c r="K2" s="218" t="s">
        <v>47</v>
      </c>
      <c r="L2" s="218"/>
      <c r="M2" s="218"/>
      <c r="N2" s="218"/>
      <c r="O2" s="218"/>
      <c r="P2" s="218"/>
      <c r="Q2" s="218"/>
      <c r="R2" s="218"/>
    </row>
    <row r="4" spans="2:18" x14ac:dyDescent="0.25">
      <c r="C4" s="220" t="s">
        <v>56</v>
      </c>
      <c r="D4" s="221"/>
      <c r="E4" s="221"/>
      <c r="F4" s="221"/>
      <c r="G4" s="221"/>
      <c r="H4" s="221"/>
      <c r="I4" s="221"/>
      <c r="L4" s="222" t="s">
        <v>56</v>
      </c>
      <c r="M4" s="223"/>
      <c r="N4" s="223"/>
      <c r="O4" s="223"/>
      <c r="P4" s="223"/>
      <c r="Q4" s="223"/>
      <c r="R4" s="223"/>
    </row>
    <row r="5" spans="2:18" x14ac:dyDescent="0.25">
      <c r="B5" s="85" t="s">
        <v>29</v>
      </c>
      <c r="C5" s="87" t="s">
        <v>45</v>
      </c>
      <c r="D5" s="86" t="s">
        <v>21</v>
      </c>
      <c r="E5" s="86" t="s">
        <v>22</v>
      </c>
      <c r="F5" s="86" t="s">
        <v>23</v>
      </c>
      <c r="G5" s="86" t="s">
        <v>24</v>
      </c>
      <c r="H5" s="86" t="s">
        <v>25</v>
      </c>
      <c r="I5" s="89" t="s">
        <v>30</v>
      </c>
      <c r="K5" s="91" t="s">
        <v>29</v>
      </c>
      <c r="L5" s="92" t="s">
        <v>45</v>
      </c>
      <c r="M5" s="93" t="s">
        <v>21</v>
      </c>
      <c r="N5" s="93" t="s">
        <v>22</v>
      </c>
      <c r="O5" s="93" t="s">
        <v>23</v>
      </c>
      <c r="P5" s="93" t="s">
        <v>24</v>
      </c>
      <c r="Q5" s="93" t="s">
        <v>25</v>
      </c>
      <c r="R5" s="97" t="s">
        <v>30</v>
      </c>
    </row>
    <row r="6" spans="2:18" x14ac:dyDescent="0.25">
      <c r="B6" s="106" t="s">
        <v>41</v>
      </c>
      <c r="C6" s="140">
        <f>'OUTPUT | DIFF | ADD HOURS'!C6/'CALC | FCAST | HOURS'!L$30</f>
        <v>0</v>
      </c>
      <c r="D6" s="141">
        <f>'OUTPUT | DIFF | ADD HOURS'!D6/'CALC | FCAST | HOURS'!M$30</f>
        <v>26.925905806946137</v>
      </c>
      <c r="E6" s="141">
        <f>'OUTPUT | DIFF | ADD HOURS'!E6/'CALC | FCAST | HOURS'!N$30</f>
        <v>8.289139632377216</v>
      </c>
      <c r="F6" s="141">
        <f>'OUTPUT | DIFF | ADD HOURS'!F6/'CALC | FCAST | HOURS'!O$30</f>
        <v>3.2840987249493767</v>
      </c>
      <c r="G6" s="141">
        <f>'OUTPUT | DIFF | ADD HOURS'!G6/'CALC | FCAST | HOURS'!P$30</f>
        <v>1.3461943685924755</v>
      </c>
      <c r="H6" s="141">
        <f>'OUTPUT | DIFF | ADD HOURS'!H6/'CALC | FCAST | HOURS'!Q$30</f>
        <v>1.6425242942936082</v>
      </c>
      <c r="I6" s="144">
        <f>SUM(C6:H6)</f>
        <v>41.487862827158814</v>
      </c>
      <c r="K6" s="106" t="s">
        <v>41</v>
      </c>
      <c r="L6" s="140">
        <f>'OUTPUT | DIFF | ADD HOURS'!L6/'CALC | FCAST | HOURS'!L$30</f>
        <v>0</v>
      </c>
      <c r="M6" s="141">
        <f>'OUTPUT | DIFF | ADD HOURS'!M6/'CALC | FCAST | HOURS'!M$30</f>
        <v>169.40784290934315</v>
      </c>
      <c r="N6" s="141">
        <f>'OUTPUT | DIFF | ADD HOURS'!N6/'CALC | FCAST | HOURS'!N$30</f>
        <v>52.152201480743337</v>
      </c>
      <c r="O6" s="141">
        <f>'OUTPUT | DIFF | ADD HOURS'!O6/'CALC | FCAST | HOURS'!O$30</f>
        <v>20.662334811832967</v>
      </c>
      <c r="P6" s="141">
        <f>'OUTPUT | DIFF | ADD HOURS'!P6/'CALC | FCAST | HOURS'!P$30</f>
        <v>8.4697571831037344</v>
      </c>
      <c r="Q6" s="141">
        <f>'OUTPUT | DIFF | ADD HOURS'!Q6/'CALC | FCAST | HOURS'!Q$30</f>
        <v>10.334155501304897</v>
      </c>
      <c r="R6" s="150">
        <f>SUM(L6:Q6)</f>
        <v>261.02629188632807</v>
      </c>
    </row>
    <row r="7" spans="2:18" x14ac:dyDescent="0.25">
      <c r="B7" s="2" t="s">
        <v>39</v>
      </c>
      <c r="C7" s="140">
        <f>'OUTPUT | DIFF | ADD HOURS'!C7/'CALC | FCAST | HOURS'!L$30</f>
        <v>0</v>
      </c>
      <c r="D7" s="141">
        <f>'OUTPUT | DIFF | ADD HOURS'!D7/'CALC | FCAST | HOURS'!M$30</f>
        <v>17.29989448096304</v>
      </c>
      <c r="E7" s="141">
        <f>'OUTPUT | DIFF | ADD HOURS'!E7/'CALC | FCAST | HOURS'!N$30</f>
        <v>7.9068313055170787</v>
      </c>
      <c r="F7" s="141">
        <f>'OUTPUT | DIFF | ADD HOURS'!F7/'CALC | FCAST | HOURS'!O$30</f>
        <v>2.7106846618629823</v>
      </c>
      <c r="G7" s="141">
        <f>'OUTPUT | DIFF | ADD HOURS'!G7/'CALC | FCAST | HOURS'!P$30</f>
        <v>2.1102506318476775</v>
      </c>
      <c r="H7" s="141">
        <f>'OUTPUT | DIFF | ADD HOURS'!H7/'CALC | FCAST | HOURS'!Q$30</f>
        <v>2.2742644074834595</v>
      </c>
      <c r="I7" s="144">
        <f t="shared" ref="I7:I10" si="0">SUM(C7:H7)</f>
        <v>32.301925487674239</v>
      </c>
      <c r="K7" s="2" t="s">
        <v>39</v>
      </c>
      <c r="L7" s="140">
        <f>'OUTPUT | DIFF | ADD HOURS'!L7/'CALC | FCAST | HOURS'!L$30</f>
        <v>0</v>
      </c>
      <c r="M7" s="141">
        <f>'OUTPUT | DIFF | ADD HOURS'!M7/'CALC | FCAST | HOURS'!M$30</f>
        <v>108.84453906925307</v>
      </c>
      <c r="N7" s="141">
        <f>'OUTPUT | DIFF | ADD HOURS'!N7/'CALC | FCAST | HOURS'!N$30</f>
        <v>49.746858854797132</v>
      </c>
      <c r="O7" s="141">
        <f>'OUTPUT | DIFF | ADD HOURS'!O7/'CALC | FCAST | HOURS'!O$30</f>
        <v>17.054625558973246</v>
      </c>
      <c r="P7" s="141">
        <f>'OUTPUT | DIFF | ADD HOURS'!P7/'CALC | FCAST | HOURS'!P$30</f>
        <v>13.276916665405842</v>
      </c>
      <c r="Q7" s="141">
        <f>'OUTPUT | DIFF | ADD HOURS'!Q7/'CALC | FCAST | HOURS'!Q$30</f>
        <v>14.308830694114473</v>
      </c>
      <c r="R7" s="150">
        <f t="shared" ref="R7:R10" si="1">SUM(L7:Q7)</f>
        <v>203.23177084254377</v>
      </c>
    </row>
    <row r="8" spans="2:18" x14ac:dyDescent="0.25">
      <c r="B8" s="2" t="s">
        <v>40</v>
      </c>
      <c r="C8" s="140">
        <f>'OUTPUT | DIFF | ADD HOURS'!C8/'CALC | FCAST | HOURS'!L$30</f>
        <v>0</v>
      </c>
      <c r="D8" s="141">
        <f>'OUTPUT | DIFF | ADD HOURS'!D8/'CALC | FCAST | HOURS'!M$30</f>
        <v>15.818969661580791</v>
      </c>
      <c r="E8" s="141">
        <f>'OUTPUT | DIFF | ADD HOURS'!E8/'CALC | FCAST | HOURS'!N$30</f>
        <v>4.2922798515664091</v>
      </c>
      <c r="F8" s="141">
        <f>'OUTPUT | DIFF | ADD HOURS'!F8/'CALC | FCAST | HOURS'!O$30</f>
        <v>1.485663708905669</v>
      </c>
      <c r="G8" s="141">
        <f>'OUTPUT | DIFF | ADD HOURS'!G8/'CALC | FCAST | HOURS'!P$30</f>
        <v>1.1278925790909931</v>
      </c>
      <c r="H8" s="141">
        <f>'OUTPUT | DIFF | ADD HOURS'!H8/'CALC | FCAST | HOURS'!Q$30</f>
        <v>1.1371322037417297</v>
      </c>
      <c r="I8" s="144">
        <f t="shared" si="0"/>
        <v>23.861938004885591</v>
      </c>
      <c r="K8" s="2" t="s">
        <v>40</v>
      </c>
      <c r="L8" s="140">
        <f>'OUTPUT | DIFF | ADD HOURS'!L8/'CALC | FCAST | HOURS'!L$30</f>
        <v>0</v>
      </c>
      <c r="M8" s="141">
        <f>'OUTPUT | DIFF | ADD HOURS'!M8/'CALC | FCAST | HOURS'!M$30</f>
        <v>99.527107709239161</v>
      </c>
      <c r="N8" s="141">
        <f>'OUTPUT | DIFF | ADD HOURS'!N8/'CALC | FCAST | HOURS'!N$30</f>
        <v>27.005437664032748</v>
      </c>
      <c r="O8" s="141">
        <f>'OUTPUT | DIFF | ADD HOURS'!O8/'CALC | FCAST | HOURS'!O$30</f>
        <v>9.3472467005910946</v>
      </c>
      <c r="P8" s="141">
        <f>'OUTPUT | DIFF | ADD HOURS'!P8/'CALC | FCAST | HOURS'!P$30</f>
        <v>7.0962830453031192</v>
      </c>
      <c r="Q8" s="141">
        <f>'OUTPUT | DIFF | ADD HOURS'!Q8/'CALC | FCAST | HOURS'!Q$30</f>
        <v>7.1544153470572365</v>
      </c>
      <c r="R8" s="150">
        <f t="shared" si="1"/>
        <v>150.13049046622336</v>
      </c>
    </row>
    <row r="9" spans="2:18" x14ac:dyDescent="0.25">
      <c r="B9" s="2" t="s">
        <v>42</v>
      </c>
      <c r="C9" s="140">
        <f>'OUTPUT | DIFF | ADD HOURS'!C9/'CALC | FCAST | HOURS'!L$30</f>
        <v>0</v>
      </c>
      <c r="D9" s="141">
        <f>'OUTPUT | DIFF | ADD HOURS'!D9/'CALC | FCAST | HOURS'!M$30</f>
        <v>10.770362322778483</v>
      </c>
      <c r="E9" s="141">
        <f>'OUTPUT | DIFF | ADD HOURS'!E9/'CALC | FCAST | HOURS'!N$30</f>
        <v>4.518189317438309</v>
      </c>
      <c r="F9" s="141">
        <f>'OUTPUT | DIFF | ADD HOURS'!F9/'CALC | FCAST | HOURS'!O$30</f>
        <v>2.2675919767507557</v>
      </c>
      <c r="G9" s="141">
        <f>'OUTPUT | DIFF | ADD HOURS'!G9/'CALC | FCAST | HOURS'!P$30</f>
        <v>1.2006598422581476</v>
      </c>
      <c r="H9" s="141">
        <f>'OUTPUT | DIFF | ADD HOURS'!H9/'CALC | FCAST | HOURS'!Q$30</f>
        <v>1.0107841811037575</v>
      </c>
      <c r="I9" s="144">
        <f t="shared" si="0"/>
        <v>19.767587640329452</v>
      </c>
      <c r="K9" s="2" t="s">
        <v>42</v>
      </c>
      <c r="L9" s="140">
        <f>'OUTPUT | DIFF | ADD HOURS'!L9/'CALC | FCAST | HOURS'!L$30</f>
        <v>0</v>
      </c>
      <c r="M9" s="141">
        <f>'OUTPUT | DIFF | ADD HOURS'!M9/'CALC | FCAST | HOURS'!M$30</f>
        <v>67.763137163737241</v>
      </c>
      <c r="N9" s="141">
        <f>'OUTPUT | DIFF | ADD HOURS'!N9/'CALC | FCAST | HOURS'!N$30</f>
        <v>28.426776488455481</v>
      </c>
      <c r="O9" s="141">
        <f>'OUTPUT | DIFF | ADD HOURS'!O9/'CALC | FCAST | HOURS'!O$30</f>
        <v>14.266850227217994</v>
      </c>
      <c r="P9" s="141">
        <f>'OUTPUT | DIFF | ADD HOURS'!P9/'CALC | FCAST | HOURS'!P$30</f>
        <v>7.5541077579033242</v>
      </c>
      <c r="Q9" s="141">
        <f>'OUTPUT | DIFF | ADD HOURS'!Q9/'CALC | FCAST | HOURS'!Q$30</f>
        <v>6.359480308495316</v>
      </c>
      <c r="R9" s="150">
        <f t="shared" si="1"/>
        <v>124.37035194580936</v>
      </c>
    </row>
    <row r="10" spans="2:18" x14ac:dyDescent="0.25">
      <c r="B10" s="145" t="s">
        <v>30</v>
      </c>
      <c r="C10" s="142">
        <f>'OUTPUT | DIFF | ADD HOURS'!C10/'CALC | FCAST | HOURS'!L$30</f>
        <v>0</v>
      </c>
      <c r="D10" s="143">
        <f>'OUTPUT | DIFF | ADD HOURS'!D10/'CALC | FCAST | HOURS'!M$30</f>
        <v>70.815132272268613</v>
      </c>
      <c r="E10" s="143">
        <f>'OUTPUT | DIFF | ADD HOURS'!E10/'CALC | FCAST | HOURS'!N$30</f>
        <v>25.006440106898975</v>
      </c>
      <c r="F10" s="143">
        <f>'OUTPUT | DIFF | ADD HOURS'!F10/'CALC | FCAST | HOURS'!O$30</f>
        <v>9.7480390724687833</v>
      </c>
      <c r="G10" s="143">
        <f>'OUTPUT | DIFF | ADD HOURS'!G10/'CALC | FCAST | HOURS'!P$30</f>
        <v>5.7849974217893134</v>
      </c>
      <c r="H10" s="143">
        <f>'OUTPUT | DIFF | ADD HOURS'!H10/'CALC | FCAST | HOURS'!Q$30</f>
        <v>6.0647050866225065</v>
      </c>
      <c r="I10" s="142">
        <f t="shared" si="0"/>
        <v>117.4193139600482</v>
      </c>
      <c r="K10" s="152" t="s">
        <v>30</v>
      </c>
      <c r="L10" s="151">
        <f>'OUTPUT | DIFF | ADD HOURS'!L10/'CALC | FCAST | HOURS'!L$30</f>
        <v>0</v>
      </c>
      <c r="M10" s="153">
        <f>'OUTPUT | DIFF | ADD HOURS'!M10/'CALC | FCAST | HOURS'!M$30</f>
        <v>445.54262685157312</v>
      </c>
      <c r="N10" s="153">
        <f>'OUTPUT | DIFF | ADD HOURS'!N10/'CALC | FCAST | HOURS'!N$30</f>
        <v>157.33127448802878</v>
      </c>
      <c r="O10" s="153">
        <f>'OUTPUT | DIFF | ADD HOURS'!O10/'CALC | FCAST | HOURS'!O$30</f>
        <v>61.331057298615242</v>
      </c>
      <c r="P10" s="153">
        <f>'OUTPUT | DIFF | ADD HOURS'!P10/'CALC | FCAST | HOURS'!P$30</f>
        <v>36.397064651716043</v>
      </c>
      <c r="Q10" s="153">
        <f>'OUTPUT | DIFF | ADD HOURS'!Q10/'CALC | FCAST | HOURS'!Q$30</f>
        <v>38.156881850971928</v>
      </c>
      <c r="R10" s="151">
        <f t="shared" si="1"/>
        <v>738.75890514090509</v>
      </c>
    </row>
    <row r="12" spans="2:18" x14ac:dyDescent="0.25">
      <c r="B12" s="204" t="s">
        <v>48</v>
      </c>
      <c r="C12" s="204"/>
      <c r="D12" s="204"/>
      <c r="E12" s="204"/>
      <c r="F12" s="204"/>
      <c r="G12" s="204"/>
      <c r="H12" s="204"/>
      <c r="I12" s="204"/>
      <c r="K12" s="212" t="s">
        <v>49</v>
      </c>
      <c r="L12" s="212"/>
      <c r="M12" s="212"/>
      <c r="N12" s="212"/>
      <c r="O12" s="212"/>
      <c r="P12" s="212"/>
      <c r="Q12" s="212"/>
      <c r="R12" s="212"/>
    </row>
    <row r="14" spans="2:18" x14ac:dyDescent="0.25">
      <c r="C14" s="213" t="s">
        <v>56</v>
      </c>
      <c r="D14" s="214"/>
      <c r="E14" s="214"/>
      <c r="F14" s="214"/>
      <c r="G14" s="214"/>
      <c r="H14" s="214"/>
      <c r="I14" s="214"/>
      <c r="L14" s="215" t="s">
        <v>56</v>
      </c>
      <c r="M14" s="216"/>
      <c r="N14" s="216"/>
      <c r="O14" s="216"/>
      <c r="P14" s="216"/>
      <c r="Q14" s="216"/>
      <c r="R14" s="216"/>
    </row>
    <row r="15" spans="2:18" x14ac:dyDescent="0.25">
      <c r="B15" s="102" t="s">
        <v>29</v>
      </c>
      <c r="C15" s="103" t="s">
        <v>45</v>
      </c>
      <c r="D15" s="104" t="s">
        <v>21</v>
      </c>
      <c r="E15" s="104" t="s">
        <v>22</v>
      </c>
      <c r="F15" s="104" t="s">
        <v>23</v>
      </c>
      <c r="G15" s="104" t="s">
        <v>24</v>
      </c>
      <c r="H15" s="104" t="s">
        <v>25</v>
      </c>
      <c r="I15" s="105" t="s">
        <v>30</v>
      </c>
      <c r="K15" s="98" t="s">
        <v>29</v>
      </c>
      <c r="L15" s="99" t="s">
        <v>45</v>
      </c>
      <c r="M15" s="100" t="s">
        <v>21</v>
      </c>
      <c r="N15" s="100" t="s">
        <v>22</v>
      </c>
      <c r="O15" s="100" t="s">
        <v>23</v>
      </c>
      <c r="P15" s="100" t="s">
        <v>24</v>
      </c>
      <c r="Q15" s="100" t="s">
        <v>25</v>
      </c>
      <c r="R15" s="101" t="s">
        <v>30</v>
      </c>
    </row>
    <row r="16" spans="2:18" x14ac:dyDescent="0.25">
      <c r="B16" s="106" t="s">
        <v>41</v>
      </c>
      <c r="C16" s="140">
        <f>'OUTPUT | DIFF | ADD HOURS'!C16/'CALC | FCAST | HOURS'!L$30</f>
        <v>0</v>
      </c>
      <c r="D16" s="141">
        <f>'OUTPUT | DIFF | ADD HOURS'!D16/'CALC | FCAST | HOURS'!M$30</f>
        <v>486.72630049289262</v>
      </c>
      <c r="E16" s="141">
        <f>'OUTPUT | DIFF | ADD HOURS'!E16/'CALC | FCAST | HOURS'!N$30</f>
        <v>149.83868310551637</v>
      </c>
      <c r="F16" s="141">
        <f>'OUTPUT | DIFF | ADD HOURS'!F16/'CALC | FCAST | HOURS'!O$30</f>
        <v>59.365030625475868</v>
      </c>
      <c r="G16" s="141">
        <f>'OUTPUT | DIFF | ADD HOURS'!G16/'CALC | FCAST | HOURS'!P$30</f>
        <v>24.334490711928058</v>
      </c>
      <c r="H16" s="141">
        <f>'OUTPUT | DIFF | ADD HOURS'!H16/'CALC | FCAST | HOURS'!Q$30</f>
        <v>29.691100420658248</v>
      </c>
      <c r="I16" s="149">
        <f>SUM(C16:H16)</f>
        <v>749.95560535647121</v>
      </c>
      <c r="K16" s="106" t="s">
        <v>41</v>
      </c>
      <c r="L16" s="140">
        <f>'OUTPUT | DIFF | ADD HOURS'!L16/'CALC | FCAST | HOURS'!L$30</f>
        <v>0</v>
      </c>
      <c r="M16" s="141">
        <f>'OUTPUT | DIFF | ADD HOURS'!M16/'CALC | FCAST | HOURS'!M$30</f>
        <v>598.61335443664734</v>
      </c>
      <c r="N16" s="141">
        <f>'OUTPUT | DIFF | ADD HOURS'!N16/'CALC | FCAST | HOURS'!N$30</f>
        <v>184.28311070786842</v>
      </c>
      <c r="O16" s="141">
        <f>'OUTPUT | DIFF | ADD HOURS'!O16/'CALC | FCAST | HOURS'!O$30</f>
        <v>73.011670178832546</v>
      </c>
      <c r="P16" s="141">
        <f>'OUTPUT | DIFF | ADD HOURS'!P16/'CALC | FCAST | HOURS'!P$30</f>
        <v>29.928424042060602</v>
      </c>
      <c r="Q16" s="141">
        <f>'OUTPUT | DIFF | ADD HOURS'!Q16/'CALC | FCAST | HOURS'!Q$30</f>
        <v>36.516393713935173</v>
      </c>
      <c r="R16" s="157">
        <f>SUM(L16:Q16)</f>
        <v>922.35295307934405</v>
      </c>
    </row>
    <row r="17" spans="2:18" x14ac:dyDescent="0.25">
      <c r="B17" s="2" t="s">
        <v>39</v>
      </c>
      <c r="C17" s="140">
        <f>'OUTPUT | DIFF | ADD HOURS'!C17/'CALC | FCAST | HOURS'!L$30</f>
        <v>0</v>
      </c>
      <c r="D17" s="141">
        <f>'OUTPUT | DIFF | ADD HOURS'!D17/'CALC | FCAST | HOURS'!M$30</f>
        <v>312.7216480666836</v>
      </c>
      <c r="E17" s="141">
        <f>'OUTPUT | DIFF | ADD HOURS'!E17/'CALC | FCAST | HOURS'!N$30</f>
        <v>142.92788430400404</v>
      </c>
      <c r="F17" s="141">
        <f>'OUTPUT | DIFF | ADD HOURS'!F17/'CALC | FCAST | HOURS'!O$30</f>
        <v>48.999707817853107</v>
      </c>
      <c r="G17" s="141">
        <f>'OUTPUT | DIFF | ADD HOURS'!G17/'CALC | FCAST | HOURS'!P$30</f>
        <v>38.145958413292632</v>
      </c>
      <c r="H17" s="141">
        <f>'OUTPUT | DIFF | ADD HOURS'!H17/'CALC | FCAST | HOURS'!Q$30</f>
        <v>41.11075442860372</v>
      </c>
      <c r="I17" s="149">
        <f t="shared" ref="I17:I20" si="2">SUM(C17:H17)</f>
        <v>583.9059530304371</v>
      </c>
      <c r="K17" s="2" t="s">
        <v>39</v>
      </c>
      <c r="L17" s="140">
        <f>'OUTPUT | DIFF | ADD HOURS'!L17/'CALC | FCAST | HOURS'!L$30</f>
        <v>0</v>
      </c>
      <c r="M17" s="141">
        <f>'OUTPUT | DIFF | ADD HOURS'!M17/'CALC | FCAST | HOURS'!M$30</f>
        <v>384.60908022554599</v>
      </c>
      <c r="N17" s="141">
        <f>'OUTPUT | DIFF | ADD HOURS'!N17/'CALC | FCAST | HOURS'!N$30</f>
        <v>175.78368002532517</v>
      </c>
      <c r="O17" s="141">
        <f>'OUTPUT | DIFF | ADD HOURS'!O17/'CALC | FCAST | HOURS'!O$30</f>
        <v>60.263600782528457</v>
      </c>
      <c r="P17" s="141">
        <f>'OUTPUT | DIFF | ADD HOURS'!P17/'CALC | FCAST | HOURS'!P$30</f>
        <v>46.914826876743632</v>
      </c>
      <c r="Q17" s="141">
        <f>'OUTPUT | DIFF | ADD HOURS'!Q17/'CALC | FCAST | HOURS'!Q$30</f>
        <v>50.561160526987145</v>
      </c>
      <c r="R17" s="157">
        <f t="shared" ref="R17:R20" si="3">SUM(L17:Q17)</f>
        <v>718.1323484371303</v>
      </c>
    </row>
    <row r="18" spans="2:18" x14ac:dyDescent="0.25">
      <c r="B18" s="2" t="s">
        <v>40</v>
      </c>
      <c r="C18" s="140">
        <f>'OUTPUT | DIFF | ADD HOURS'!C18/'CALC | FCAST | HOURS'!L$30</f>
        <v>0</v>
      </c>
      <c r="D18" s="141">
        <f>'OUTPUT | DIFF | ADD HOURS'!D18/'CALC | FCAST | HOURS'!M$30</f>
        <v>285.9517015395744</v>
      </c>
      <c r="E18" s="141">
        <f>'OUTPUT | DIFF | ADD HOURS'!E18/'CALC | FCAST | HOURS'!N$30</f>
        <v>77.58942290788795</v>
      </c>
      <c r="F18" s="141">
        <f>'OUTPUT | DIFF | ADD HOURS'!F18/'CALC | FCAST | HOURS'!O$30</f>
        <v>26.855609092477177</v>
      </c>
      <c r="G18" s="141">
        <f>'OUTPUT | DIFF | ADD HOURS'!G18/'CALC | FCAST | HOURS'!P$30</f>
        <v>20.38835708296676</v>
      </c>
      <c r="H18" s="141">
        <f>'OUTPUT | DIFF | ADD HOURS'!H18/'CALC | FCAST | HOURS'!Q$30</f>
        <v>20.55537721430186</v>
      </c>
      <c r="I18" s="149">
        <f t="shared" si="2"/>
        <v>431.34046783720817</v>
      </c>
      <c r="K18" s="2" t="s">
        <v>40</v>
      </c>
      <c r="L18" s="140">
        <f>'OUTPUT | DIFF | ADD HOURS'!L18/'CALC | FCAST | HOURS'!L$30</f>
        <v>0</v>
      </c>
      <c r="M18" s="141">
        <f>'OUTPUT | DIFF | ADD HOURS'!M18/'CALC | FCAST | HOURS'!M$30</f>
        <v>351.68534573153028</v>
      </c>
      <c r="N18" s="141">
        <f>'OUTPUT | DIFF | ADD HOURS'!N18/'CALC | FCAST | HOURS'!N$30</f>
        <v>95.425426299462259</v>
      </c>
      <c r="O18" s="141">
        <f>'OUTPUT | DIFF | ADD HOURS'!O18/'CALC | FCAST | HOURS'!O$30</f>
        <v>33.029088890424255</v>
      </c>
      <c r="P18" s="141">
        <f>'OUTPUT | DIFF | ADD HOURS'!P18/'CALC | FCAST | HOURS'!P$30</f>
        <v>25.075166089294015</v>
      </c>
      <c r="Q18" s="141">
        <f>'OUTPUT | DIFF | ADD HOURS'!Q18/'CALC | FCAST | HOURS'!Q$30</f>
        <v>25.280580263493572</v>
      </c>
      <c r="R18" s="157">
        <f t="shared" si="3"/>
        <v>530.4956072742043</v>
      </c>
    </row>
    <row r="19" spans="2:18" x14ac:dyDescent="0.25">
      <c r="B19" s="2" t="s">
        <v>42</v>
      </c>
      <c r="C19" s="140">
        <f>'OUTPUT | DIFF | ADD HOURS'!C19/'CALC | FCAST | HOURS'!L$30</f>
        <v>0</v>
      </c>
      <c r="D19" s="141">
        <f>'OUTPUT | DIFF | ADD HOURS'!D19/'CALC | FCAST | HOURS'!M$30</f>
        <v>194.69052019715707</v>
      </c>
      <c r="E19" s="141">
        <f>'OUTPUT | DIFF | ADD HOURS'!E19/'CALC | FCAST | HOURS'!N$30</f>
        <v>81.673076745145167</v>
      </c>
      <c r="F19" s="141">
        <f>'OUTPUT | DIFF | ADD HOURS'!F19/'CALC | FCAST | HOURS'!O$30</f>
        <v>40.99014019378096</v>
      </c>
      <c r="G19" s="141">
        <f>'OUTPUT | DIFF | ADD HOURS'!G19/'CALC | FCAST | HOURS'!P$30</f>
        <v>21.703734959287193</v>
      </c>
      <c r="H19" s="141">
        <f>'OUTPUT | DIFF | ADD HOURS'!H19/'CALC | FCAST | HOURS'!Q$30</f>
        <v>18.271446412712759</v>
      </c>
      <c r="I19" s="149">
        <f t="shared" si="2"/>
        <v>357.32891850808318</v>
      </c>
      <c r="K19" s="2" t="s">
        <v>42</v>
      </c>
      <c r="L19" s="140">
        <f>'OUTPUT | DIFF | ADD HOURS'!L19/'CALC | FCAST | HOURS'!L$30</f>
        <v>0</v>
      </c>
      <c r="M19" s="141">
        <f>'OUTPUT | DIFF | ADD HOURS'!M19/'CALC | FCAST | HOURS'!M$30</f>
        <v>239.44534177465897</v>
      </c>
      <c r="N19" s="141">
        <f>'OUTPUT | DIFF | ADD HOURS'!N19/'CALC | FCAST | HOURS'!N$30</f>
        <v>100.44781715732869</v>
      </c>
      <c r="O19" s="141">
        <f>'OUTPUT | DIFF | ADD HOURS'!O19/'CALC | FCAST | HOURS'!O$30</f>
        <v>50.412819885384373</v>
      </c>
      <c r="P19" s="141">
        <f>'OUTPUT | DIFF | ADD HOURS'!P19/'CALC | FCAST | HOURS'!P$30</f>
        <v>26.692918740216211</v>
      </c>
      <c r="Q19" s="141">
        <f>'OUTPUT | DIFF | ADD HOURS'!Q19/'CALC | FCAST | HOURS'!Q$30</f>
        <v>22.471626900883173</v>
      </c>
      <c r="R19" s="157">
        <f t="shared" si="3"/>
        <v>439.4705244584714</v>
      </c>
    </row>
    <row r="20" spans="2:18" x14ac:dyDescent="0.25">
      <c r="B20" s="146" t="s">
        <v>30</v>
      </c>
      <c r="C20" s="147">
        <f>'OUTPUT | DIFF | ADD HOURS'!C20/'CALC | FCAST | HOURS'!L$30</f>
        <v>0</v>
      </c>
      <c r="D20" s="148">
        <f>'OUTPUT | DIFF | ADD HOURS'!D20/'CALC | FCAST | HOURS'!M$30</f>
        <v>1280.0901702963079</v>
      </c>
      <c r="E20" s="148">
        <f>'OUTPUT | DIFF | ADD HOURS'!E20/'CALC | FCAST | HOURS'!N$30</f>
        <v>452.02906706255351</v>
      </c>
      <c r="F20" s="148">
        <f>'OUTPUT | DIFF | ADD HOURS'!F20/'CALC | FCAST | HOURS'!O$30</f>
        <v>176.21048772958713</v>
      </c>
      <c r="G20" s="148">
        <f>'OUTPUT | DIFF | ADD HOURS'!G20/'CALC | FCAST | HOURS'!P$30</f>
        <v>104.57254116747467</v>
      </c>
      <c r="H20" s="148">
        <f>'OUTPUT | DIFF | ADD HOURS'!H20/'CALC | FCAST | HOURS'!Q$30</f>
        <v>109.62867847627662</v>
      </c>
      <c r="I20" s="147">
        <f t="shared" si="2"/>
        <v>2122.5309447321997</v>
      </c>
      <c r="K20" s="154" t="s">
        <v>30</v>
      </c>
      <c r="L20" s="155">
        <f>'OUTPUT | DIFF | ADD HOURS'!L20/'CALC | FCAST | HOURS'!L$30</f>
        <v>0</v>
      </c>
      <c r="M20" s="156">
        <f>'OUTPUT | DIFF | ADD HOURS'!M20/'CALC | FCAST | HOURS'!M$30</f>
        <v>1574.3531221683825</v>
      </c>
      <c r="N20" s="156">
        <f>'OUTPUT | DIFF | ADD HOURS'!N20/'CALC | FCAST | HOURS'!N$30</f>
        <v>555.94003418998454</v>
      </c>
      <c r="O20" s="156">
        <f>'OUTPUT | DIFF | ADD HOURS'!O20/'CALC | FCAST | HOURS'!O$30</f>
        <v>216.71717973716963</v>
      </c>
      <c r="P20" s="156">
        <f>'OUTPUT | DIFF | ADD HOURS'!P20/'CALC | FCAST | HOURS'!P$30</f>
        <v>128.61133574831445</v>
      </c>
      <c r="Q20" s="156">
        <f>'OUTPUT | DIFF | ADD HOURS'!Q20/'CALC | FCAST | HOURS'!Q$30</f>
        <v>134.82976140529908</v>
      </c>
      <c r="R20" s="155">
        <f t="shared" si="3"/>
        <v>2610.4514332491503</v>
      </c>
    </row>
    <row r="22" spans="2:18" x14ac:dyDescent="0.25">
      <c r="B22" s="229" t="s">
        <v>30</v>
      </c>
      <c r="C22" s="229"/>
      <c r="D22" s="229"/>
      <c r="E22" s="229"/>
      <c r="F22" s="229"/>
      <c r="G22" s="229"/>
      <c r="H22" s="229"/>
      <c r="I22" s="229"/>
    </row>
    <row r="23" spans="2:18" x14ac:dyDescent="0.25">
      <c r="B23" s="108"/>
      <c r="C23" s="108"/>
      <c r="D23" s="108"/>
      <c r="E23" s="108"/>
      <c r="F23" s="108"/>
      <c r="G23" s="108"/>
      <c r="H23" s="108"/>
      <c r="I23" s="108"/>
    </row>
    <row r="24" spans="2:18" x14ac:dyDescent="0.25">
      <c r="B24" s="108"/>
      <c r="C24" s="230" t="s">
        <v>0</v>
      </c>
      <c r="D24" s="231"/>
      <c r="E24" s="231"/>
      <c r="F24" s="231"/>
      <c r="G24" s="231"/>
      <c r="H24" s="231"/>
      <c r="I24" s="231"/>
    </row>
    <row r="25" spans="2:18" x14ac:dyDescent="0.25">
      <c r="B25" s="170" t="s">
        <v>29</v>
      </c>
      <c r="C25" s="171" t="s">
        <v>45</v>
      </c>
      <c r="D25" s="172" t="s">
        <v>21</v>
      </c>
      <c r="E25" s="172" t="s">
        <v>22</v>
      </c>
      <c r="F25" s="172" t="s">
        <v>23</v>
      </c>
      <c r="G25" s="172" t="s">
        <v>24</v>
      </c>
      <c r="H25" s="172" t="s">
        <v>25</v>
      </c>
      <c r="I25" s="173" t="s">
        <v>30</v>
      </c>
    </row>
    <row r="26" spans="2:18" x14ac:dyDescent="0.25">
      <c r="B26" s="174" t="s">
        <v>41</v>
      </c>
      <c r="C26" s="197">
        <f>C6+L6+C16+L16</f>
        <v>0</v>
      </c>
      <c r="D26" s="198">
        <f t="shared" ref="D26:I26" si="4">D6+M6+D16+M16</f>
        <v>1281.6734036458292</v>
      </c>
      <c r="E26" s="198">
        <f t="shared" si="4"/>
        <v>394.56313492650531</v>
      </c>
      <c r="F26" s="198">
        <f t="shared" si="4"/>
        <v>156.32313434109074</v>
      </c>
      <c r="G26" s="198">
        <f t="shared" si="4"/>
        <v>64.078866305684869</v>
      </c>
      <c r="H26" s="198">
        <f t="shared" si="4"/>
        <v>78.184173930191918</v>
      </c>
      <c r="I26" s="199">
        <f t="shared" si="4"/>
        <v>1974.8227131493022</v>
      </c>
    </row>
    <row r="27" spans="2:18" x14ac:dyDescent="0.25">
      <c r="B27" s="177" t="s">
        <v>39</v>
      </c>
      <c r="C27" s="197">
        <f t="shared" ref="C27:I27" si="5">C7+L7+C17+L17</f>
        <v>0</v>
      </c>
      <c r="D27" s="198">
        <f t="shared" si="5"/>
        <v>823.47516184244569</v>
      </c>
      <c r="E27" s="198">
        <f t="shared" si="5"/>
        <v>376.36525448964341</v>
      </c>
      <c r="F27" s="198">
        <f t="shared" si="5"/>
        <v>129.02861882121778</v>
      </c>
      <c r="G27" s="198">
        <f t="shared" si="5"/>
        <v>100.44795258728979</v>
      </c>
      <c r="H27" s="198">
        <f t="shared" si="5"/>
        <v>108.2550100571888</v>
      </c>
      <c r="I27" s="199">
        <f t="shared" si="5"/>
        <v>1537.5719977977853</v>
      </c>
    </row>
    <row r="28" spans="2:18" x14ac:dyDescent="0.25">
      <c r="B28" s="177" t="s">
        <v>40</v>
      </c>
      <c r="C28" s="197">
        <f t="shared" ref="C28:I28" si="6">C8+L8+C18+L18</f>
        <v>0</v>
      </c>
      <c r="D28" s="198">
        <f t="shared" si="6"/>
        <v>752.98312464192463</v>
      </c>
      <c r="E28" s="198">
        <f t="shared" si="6"/>
        <v>204.31256672294938</v>
      </c>
      <c r="F28" s="198">
        <f t="shared" si="6"/>
        <v>70.717608392398205</v>
      </c>
      <c r="G28" s="198">
        <f t="shared" si="6"/>
        <v>53.687698796654885</v>
      </c>
      <c r="H28" s="198">
        <f t="shared" si="6"/>
        <v>54.127505028594399</v>
      </c>
      <c r="I28" s="199">
        <f t="shared" si="6"/>
        <v>1135.8285035825215</v>
      </c>
    </row>
    <row r="29" spans="2:18" x14ac:dyDescent="0.25">
      <c r="B29" s="177" t="s">
        <v>42</v>
      </c>
      <c r="C29" s="197">
        <f t="shared" ref="C29:I29" si="7">C9+L9+C19+L19</f>
        <v>0</v>
      </c>
      <c r="D29" s="198">
        <f t="shared" si="7"/>
        <v>512.66936145833176</v>
      </c>
      <c r="E29" s="198">
        <f t="shared" si="7"/>
        <v>215.06585970836764</v>
      </c>
      <c r="F29" s="198">
        <f t="shared" si="7"/>
        <v>107.93740228313408</v>
      </c>
      <c r="G29" s="198">
        <f t="shared" si="7"/>
        <v>57.151421299664875</v>
      </c>
      <c r="H29" s="198">
        <f t="shared" si="7"/>
        <v>48.113337803195009</v>
      </c>
      <c r="I29" s="199">
        <f t="shared" si="7"/>
        <v>940.93738255269341</v>
      </c>
    </row>
    <row r="30" spans="2:18" x14ac:dyDescent="0.25">
      <c r="B30" s="178" t="s">
        <v>30</v>
      </c>
      <c r="C30" s="200">
        <f t="shared" ref="C30:I30" si="8">C10+L10+C20+L20</f>
        <v>0</v>
      </c>
      <c r="D30" s="201">
        <f t="shared" si="8"/>
        <v>3370.8010515885321</v>
      </c>
      <c r="E30" s="201">
        <f t="shared" si="8"/>
        <v>1190.3068158474657</v>
      </c>
      <c r="F30" s="201">
        <f t="shared" si="8"/>
        <v>464.00676383784082</v>
      </c>
      <c r="G30" s="201">
        <f t="shared" si="8"/>
        <v>275.36593898929448</v>
      </c>
      <c r="H30" s="201">
        <f t="shared" si="8"/>
        <v>288.68002681917017</v>
      </c>
      <c r="I30" s="200">
        <f t="shared" si="8"/>
        <v>5589.1605970823039</v>
      </c>
    </row>
  </sheetData>
  <mergeCells count="10">
    <mergeCell ref="C24:I24"/>
    <mergeCell ref="B12:I12"/>
    <mergeCell ref="K12:R12"/>
    <mergeCell ref="C14:I14"/>
    <mergeCell ref="L14:R14"/>
    <mergeCell ref="B2:I2"/>
    <mergeCell ref="K2:R2"/>
    <mergeCell ref="B22:I22"/>
    <mergeCell ref="C4:I4"/>
    <mergeCell ref="L4:R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INPUT | WORKFORCE</vt:lpstr>
      <vt:lpstr>INPUT | POPULATION</vt:lpstr>
      <vt:lpstr>INPUT | SEGMENTATION</vt:lpstr>
      <vt:lpstr>CALC | TASK STD</vt:lpstr>
      <vt:lpstr>INPUT | BLINE | TASKS</vt:lpstr>
      <vt:lpstr>INPUT | FCAST | TASKS</vt:lpstr>
      <vt:lpstr>CALC | BLINE | HOURS</vt:lpstr>
      <vt:lpstr>CALC | FCAST | HOURS</vt:lpstr>
      <vt:lpstr>OUTPUT | BLINE | HR PER PT</vt:lpstr>
      <vt:lpstr>OUTPUT | FCAST | HR PER PT</vt:lpstr>
      <vt:lpstr>OUTPUT | DIFF | ADD HOURS</vt:lpstr>
      <vt:lpstr>OUTPUT | DIFF | ADD FTE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Blackwell</dc:creator>
  <cp:lastModifiedBy>Richard Blackwell</cp:lastModifiedBy>
  <dcterms:created xsi:type="dcterms:W3CDTF">2026-05-28T08:49:06Z</dcterms:created>
  <dcterms:modified xsi:type="dcterms:W3CDTF">2026-06-08T10:19:24Z</dcterms:modified>
</cp:coreProperties>
</file>