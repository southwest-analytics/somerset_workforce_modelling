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southwestacademichealthscie-my.sharepoint.com/personal/richard_blackwell_healthinnovationsouthwest_com/Documents/Workspace/somerset_workforce_modelling/somerset_icb/output/qof/"/>
    </mc:Choice>
  </mc:AlternateContent>
  <xr:revisionPtr revIDLastSave="251" documentId="8_{6E9068C0-2369-41D1-874E-8B269CE37C93}" xr6:coauthVersionLast="47" xr6:coauthVersionMax="47" xr10:uidLastSave="{41ED9494-8888-4AA9-ABA7-1D3F78B0DF41}"/>
  <bookViews>
    <workbookView xWindow="-120" yWindow="-120" windowWidth="29040" windowHeight="15720" firstSheet="3" activeTab="7" xr2:uid="{56F4682D-8AB4-4DBA-AF7F-AC3A49209941}"/>
  </bookViews>
  <sheets>
    <sheet name="INPUT | WORKFORCE" sheetId="1" r:id="rId1"/>
    <sheet name="INPUT | POPULATION" sheetId="2" r:id="rId2"/>
    <sheet name="INPUT | SEGMENTATION" sheetId="3" r:id="rId3"/>
    <sheet name="CALC | TASK STD" sheetId="10" r:id="rId4"/>
    <sheet name="INPUT | BLINE | TASKS" sheetId="4" r:id="rId5"/>
    <sheet name="INPUT | FCAST | TASKS" sheetId="5" r:id="rId6"/>
    <sheet name="CALC | BLINE | HOURS" sheetId="11" r:id="rId7"/>
    <sheet name="CALC | FCAST | HOURS" sheetId="12" r:id="rId8"/>
    <sheet name="OUTPUT | BLINE | HR PER PT" sheetId="6" r:id="rId9"/>
    <sheet name="OUTPUT | FCAST | HR PER PT" sheetId="7" r:id="rId10"/>
    <sheet name="OUTPUT | DIFF | ADD HOURS" sheetId="8" r:id="rId11"/>
    <sheet name="OUTPUT | DIFF | ADD FTE" sheetId="9" r:id="rId12"/>
  </sheets>
  <definedNames>
    <definedName name="_xlnm._FilterDatabase" localSheetId="0" hidden="1">'INPUT | WORKFORCE'!$B$2:$E$117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1" i="12" l="1"/>
  <c r="Q29" i="12"/>
  <c r="P29" i="12"/>
  <c r="O29" i="12"/>
  <c r="N29" i="12"/>
  <c r="M29" i="12"/>
  <c r="L29" i="12"/>
  <c r="Q28" i="12"/>
  <c r="P28" i="12"/>
  <c r="O28" i="12"/>
  <c r="N28" i="12"/>
  <c r="M28" i="12"/>
  <c r="L28" i="12"/>
  <c r="Q30" i="11"/>
  <c r="P30" i="11"/>
  <c r="O30" i="11"/>
  <c r="N30" i="11"/>
  <c r="M30" i="11"/>
  <c r="Q29" i="11"/>
  <c r="P29" i="11"/>
  <c r="O29" i="11"/>
  <c r="N29" i="11"/>
  <c r="M29" i="11"/>
  <c r="Q28" i="11"/>
  <c r="P28" i="11"/>
  <c r="O28" i="11"/>
  <c r="N28" i="11"/>
  <c r="M28" i="11"/>
  <c r="L30" i="11"/>
  <c r="L31" i="11"/>
  <c r="L29" i="11"/>
  <c r="L28" i="11"/>
  <c r="Q30" i="5"/>
  <c r="P30" i="5"/>
  <c r="O30" i="5"/>
  <c r="N30" i="5"/>
  <c r="M30" i="5"/>
  <c r="L30" i="5"/>
  <c r="Q30" i="4"/>
  <c r="P30" i="4"/>
  <c r="O30" i="4"/>
  <c r="N30" i="4"/>
  <c r="M30" i="4"/>
  <c r="L30" i="4"/>
  <c r="U6" i="5" l="1"/>
  <c r="U9" i="5"/>
  <c r="Q30" i="12"/>
  <c r="P30" i="12"/>
  <c r="O30" i="12"/>
  <c r="N30" i="12"/>
  <c r="M30" i="12"/>
  <c r="L30" i="12"/>
  <c r="Q31" i="12"/>
  <c r="P31" i="12"/>
  <c r="P32" i="12" s="1"/>
  <c r="O31" i="12"/>
  <c r="O32" i="12" s="1"/>
  <c r="N31" i="12"/>
  <c r="N32" i="12" s="1"/>
  <c r="M31" i="12"/>
  <c r="M32" i="12" s="1"/>
  <c r="L32" i="12"/>
  <c r="Q32" i="12" l="1"/>
  <c r="R32" i="12" s="1"/>
  <c r="R31" i="12"/>
  <c r="C30" i="12"/>
  <c r="C20" i="12" s="1"/>
  <c r="C31" i="12"/>
  <c r="L20" i="12" s="1"/>
  <c r="C28" i="12"/>
  <c r="C10" i="12" s="1"/>
  <c r="C29" i="12"/>
  <c r="L10" i="12" s="1"/>
  <c r="D30" i="12"/>
  <c r="D20" i="12" s="1"/>
  <c r="D31" i="12"/>
  <c r="M20" i="12" s="1"/>
  <c r="D28" i="12"/>
  <c r="D29" i="12"/>
  <c r="M10" i="12" s="1"/>
  <c r="E31" i="12"/>
  <c r="N20" i="12" s="1"/>
  <c r="E28" i="12"/>
  <c r="E30" i="12"/>
  <c r="E20" i="12" s="1"/>
  <c r="E29" i="12"/>
  <c r="N10" i="12" s="1"/>
  <c r="F31" i="12"/>
  <c r="O20" i="12" s="1"/>
  <c r="F28" i="12"/>
  <c r="F30" i="12"/>
  <c r="F20" i="12" s="1"/>
  <c r="F29" i="12"/>
  <c r="O10" i="12" s="1"/>
  <c r="G31" i="12"/>
  <c r="P20" i="12" s="1"/>
  <c r="G28" i="12"/>
  <c r="G30" i="12"/>
  <c r="G20" i="12" s="1"/>
  <c r="G29" i="12"/>
  <c r="P10" i="12" s="1"/>
  <c r="H30" i="12" l="1"/>
  <c r="H20" i="12" s="1"/>
  <c r="H19" i="12" s="1"/>
  <c r="H28" i="12"/>
  <c r="H29" i="12"/>
  <c r="Q10" i="12" s="1"/>
  <c r="R10" i="12" s="1"/>
  <c r="H31" i="12"/>
  <c r="Q20" i="12" s="1"/>
  <c r="R20" i="12" s="1"/>
  <c r="P8" i="12"/>
  <c r="P6" i="12"/>
  <c r="P9" i="12"/>
  <c r="P7" i="12"/>
  <c r="O8" i="12"/>
  <c r="O6" i="12"/>
  <c r="O9" i="12"/>
  <c r="O7" i="12"/>
  <c r="Q16" i="12"/>
  <c r="Q17" i="12"/>
  <c r="Q19" i="12"/>
  <c r="P16" i="12"/>
  <c r="P17" i="12"/>
  <c r="P18" i="12"/>
  <c r="P19" i="12"/>
  <c r="O18" i="12"/>
  <c r="O17" i="12"/>
  <c r="O16" i="12"/>
  <c r="O19" i="12"/>
  <c r="N8" i="12"/>
  <c r="N6" i="12"/>
  <c r="N9" i="12"/>
  <c r="N7" i="12"/>
  <c r="N18" i="12"/>
  <c r="N16" i="12"/>
  <c r="N19" i="12"/>
  <c r="N17" i="12"/>
  <c r="C7" i="12"/>
  <c r="C8" i="12"/>
  <c r="G18" i="12"/>
  <c r="G16" i="12"/>
  <c r="G19" i="12"/>
  <c r="G17" i="12"/>
  <c r="M18" i="12"/>
  <c r="M16" i="12"/>
  <c r="M19" i="12"/>
  <c r="M17" i="12"/>
  <c r="L18" i="12"/>
  <c r="L17" i="12"/>
  <c r="D19" i="12"/>
  <c r="D16" i="12"/>
  <c r="D18" i="12"/>
  <c r="D17" i="12"/>
  <c r="C17" i="12"/>
  <c r="C18" i="12"/>
  <c r="F18" i="12"/>
  <c r="F16" i="12"/>
  <c r="F17" i="12"/>
  <c r="F19" i="12"/>
  <c r="E18" i="12"/>
  <c r="E17" i="12"/>
  <c r="E16" i="12"/>
  <c r="E19" i="12"/>
  <c r="M7" i="12"/>
  <c r="M6" i="12"/>
  <c r="M8" i="12"/>
  <c r="M9" i="12"/>
  <c r="H18" i="12"/>
  <c r="H16" i="12"/>
  <c r="L7" i="12"/>
  <c r="L8" i="12"/>
  <c r="D32" i="12"/>
  <c r="D10" i="12"/>
  <c r="C32" i="12"/>
  <c r="U10" i="12"/>
  <c r="F32" i="12"/>
  <c r="F10" i="12"/>
  <c r="G32" i="12"/>
  <c r="G10" i="12"/>
  <c r="E32" i="12"/>
  <c r="E10" i="12"/>
  <c r="Q18" i="12" l="1"/>
  <c r="R18" i="12" s="1"/>
  <c r="H32" i="12"/>
  <c r="H10" i="12"/>
  <c r="H9" i="12" s="1"/>
  <c r="Q7" i="12"/>
  <c r="Q6" i="12"/>
  <c r="Q9" i="12"/>
  <c r="Q8" i="12"/>
  <c r="I20" i="12"/>
  <c r="H17" i="12"/>
  <c r="R8" i="12"/>
  <c r="R7" i="12"/>
  <c r="F7" i="12"/>
  <c r="X7" i="12" s="1"/>
  <c r="F8" i="12"/>
  <c r="X8" i="12" s="1"/>
  <c r="F9" i="12"/>
  <c r="X9" i="12" s="1"/>
  <c r="F6" i="12"/>
  <c r="X6" i="12" s="1"/>
  <c r="D9" i="12"/>
  <c r="V9" i="12" s="1"/>
  <c r="D8" i="12"/>
  <c r="V8" i="12" s="1"/>
  <c r="D7" i="12"/>
  <c r="V7" i="12" s="1"/>
  <c r="D6" i="12"/>
  <c r="V6" i="12" s="1"/>
  <c r="E7" i="12"/>
  <c r="W7" i="12" s="1"/>
  <c r="E8" i="12"/>
  <c r="W8" i="12" s="1"/>
  <c r="E9" i="12"/>
  <c r="W9" i="12" s="1"/>
  <c r="E6" i="12"/>
  <c r="W6" i="12" s="1"/>
  <c r="G8" i="12"/>
  <c r="Y8" i="12" s="1"/>
  <c r="G6" i="12"/>
  <c r="Y6" i="12" s="1"/>
  <c r="G9" i="12"/>
  <c r="Y9" i="12" s="1"/>
  <c r="G7" i="12"/>
  <c r="Y7" i="12" s="1"/>
  <c r="W10" i="12"/>
  <c r="X10" i="12"/>
  <c r="R17" i="12"/>
  <c r="Y10" i="12"/>
  <c r="U7" i="12"/>
  <c r="U8" i="12"/>
  <c r="V10" i="12"/>
  <c r="I17" i="12"/>
  <c r="I18" i="12"/>
  <c r="Z9" i="12" l="1"/>
  <c r="H6" i="12"/>
  <c r="Z6" i="12" s="1"/>
  <c r="I10" i="12"/>
  <c r="AA10" i="12" s="1"/>
  <c r="H8" i="12"/>
  <c r="Z8" i="12" s="1"/>
  <c r="H7" i="12"/>
  <c r="Z7" i="12" s="1"/>
  <c r="Z10" i="12"/>
  <c r="I7" i="12"/>
  <c r="AA7" i="12" s="1"/>
  <c r="I8" i="12" l="1"/>
  <c r="AA8" i="12" s="1"/>
  <c r="P31" i="11"/>
  <c r="P32" i="11" s="1"/>
  <c r="O31" i="11"/>
  <c r="O32" i="11" s="1"/>
  <c r="N31" i="11"/>
  <c r="N32" i="11" s="1"/>
  <c r="M31" i="11"/>
  <c r="L32" i="11"/>
  <c r="Q31" i="11"/>
  <c r="Q32" i="11" s="1"/>
  <c r="H32" i="4"/>
  <c r="G32" i="4"/>
  <c r="F32" i="4"/>
  <c r="E32" i="4"/>
  <c r="D32" i="4"/>
  <c r="C32" i="4"/>
  <c r="R18" i="4"/>
  <c r="Q18" i="4"/>
  <c r="P18" i="4"/>
  <c r="O18" i="4"/>
  <c r="I17" i="4"/>
  <c r="H17" i="4"/>
  <c r="G17" i="4"/>
  <c r="F17" i="4"/>
  <c r="E17" i="4"/>
  <c r="G16" i="4"/>
  <c r="F16" i="4"/>
  <c r="AA9" i="4"/>
  <c r="Z9" i="4"/>
  <c r="Y9" i="4"/>
  <c r="G19" i="4" s="1"/>
  <c r="X9" i="4"/>
  <c r="F19" i="4" s="1"/>
  <c r="W9" i="4"/>
  <c r="E19" i="4" s="1"/>
  <c r="V9" i="4"/>
  <c r="D19" i="4" s="1"/>
  <c r="U9" i="4"/>
  <c r="C9" i="4" s="1"/>
  <c r="AA8" i="4"/>
  <c r="Z8" i="4"/>
  <c r="Y8" i="4"/>
  <c r="X8" i="4"/>
  <c r="W8" i="4"/>
  <c r="V8" i="4"/>
  <c r="U8" i="4"/>
  <c r="R8" i="4"/>
  <c r="E8" i="4"/>
  <c r="D8" i="4"/>
  <c r="C8" i="4"/>
  <c r="AA7" i="4"/>
  <c r="AA10" i="4" s="1"/>
  <c r="Z7" i="4"/>
  <c r="H7" i="4" s="1"/>
  <c r="Y7" i="4"/>
  <c r="Y10" i="4" s="1"/>
  <c r="X7" i="4"/>
  <c r="X10" i="4" s="1"/>
  <c r="W7" i="4"/>
  <c r="W10" i="4" s="1"/>
  <c r="V7" i="4"/>
  <c r="V10" i="4" s="1"/>
  <c r="U7" i="4"/>
  <c r="C7" i="4" s="1"/>
  <c r="R7" i="4"/>
  <c r="AA6" i="4"/>
  <c r="Z6" i="4"/>
  <c r="Y6" i="4"/>
  <c r="X6" i="4"/>
  <c r="W6" i="4"/>
  <c r="V6" i="4"/>
  <c r="U6" i="4"/>
  <c r="R6" i="4"/>
  <c r="Q6" i="4"/>
  <c r="P6" i="4"/>
  <c r="C6" i="4"/>
  <c r="H32" i="5"/>
  <c r="G32" i="5"/>
  <c r="F32" i="5"/>
  <c r="E32" i="5"/>
  <c r="D32" i="5"/>
  <c r="C32" i="5"/>
  <c r="AA9" i="5"/>
  <c r="Z9" i="5"/>
  <c r="Y9" i="5"/>
  <c r="X9" i="5"/>
  <c r="F19" i="5" s="1"/>
  <c r="W9" i="5"/>
  <c r="E19" i="5" s="1"/>
  <c r="V9" i="5"/>
  <c r="AA8" i="5"/>
  <c r="R8" i="5" s="1"/>
  <c r="Z8" i="5"/>
  <c r="Y8" i="5"/>
  <c r="X8" i="5"/>
  <c r="W8" i="5"/>
  <c r="V8" i="5"/>
  <c r="U8" i="5"/>
  <c r="AA7" i="5"/>
  <c r="Z7" i="5"/>
  <c r="Y7" i="5"/>
  <c r="X7" i="5"/>
  <c r="W7" i="5"/>
  <c r="V7" i="5"/>
  <c r="U7" i="5"/>
  <c r="L17" i="5" s="1"/>
  <c r="AA6" i="5"/>
  <c r="R16" i="5" s="1"/>
  <c r="Z6" i="5"/>
  <c r="Q16" i="5" s="1"/>
  <c r="Y6" i="5"/>
  <c r="P6" i="5" s="1"/>
  <c r="X6" i="5"/>
  <c r="W6" i="5"/>
  <c r="V6" i="5"/>
  <c r="D16" i="5" s="1"/>
  <c r="C16" i="5"/>
  <c r="C16" i="12" s="1"/>
  <c r="I16" i="12" s="1"/>
  <c r="R6" i="5"/>
  <c r="Q6" i="5"/>
  <c r="H23" i="10"/>
  <c r="G23" i="10"/>
  <c r="F23" i="10"/>
  <c r="E23" i="10"/>
  <c r="D23" i="10"/>
  <c r="H22" i="10"/>
  <c r="G22" i="10"/>
  <c r="F22" i="10"/>
  <c r="E22" i="10"/>
  <c r="D22" i="10"/>
  <c r="H21" i="10"/>
  <c r="G21" i="10"/>
  <c r="F21" i="10"/>
  <c r="E21" i="10"/>
  <c r="D21" i="10"/>
  <c r="H20" i="10"/>
  <c r="G20" i="10"/>
  <c r="F20" i="10"/>
  <c r="E20" i="10"/>
  <c r="D20" i="10"/>
  <c r="C23" i="10"/>
  <c r="I23" i="10" s="1"/>
  <c r="C22" i="10"/>
  <c r="I22" i="10" s="1"/>
  <c r="C21" i="10"/>
  <c r="C20" i="10"/>
  <c r="F11" i="3"/>
  <c r="F10" i="3"/>
  <c r="F9" i="3"/>
  <c r="F8" i="3"/>
  <c r="E11" i="3"/>
  <c r="E10" i="3"/>
  <c r="E9" i="3"/>
  <c r="E8" i="3"/>
  <c r="M32" i="11" l="1"/>
  <c r="R32" i="11" s="1"/>
  <c r="R31" i="11"/>
  <c r="H28" i="11"/>
  <c r="H29" i="11"/>
  <c r="Q10" i="11" s="1"/>
  <c r="H31" i="11"/>
  <c r="Q20" i="11" s="1"/>
  <c r="H30" i="11"/>
  <c r="H20" i="11" s="1"/>
  <c r="G31" i="11"/>
  <c r="P20" i="11" s="1"/>
  <c r="G28" i="11"/>
  <c r="G29" i="11"/>
  <c r="P10" i="11" s="1"/>
  <c r="G30" i="11"/>
  <c r="G20" i="11" s="1"/>
  <c r="C28" i="11"/>
  <c r="C31" i="11"/>
  <c r="L20" i="11" s="1"/>
  <c r="C30" i="11"/>
  <c r="C20" i="11" s="1"/>
  <c r="C29" i="11"/>
  <c r="L10" i="11" s="1"/>
  <c r="E31" i="11"/>
  <c r="N20" i="11" s="1"/>
  <c r="E28" i="11"/>
  <c r="E30" i="11"/>
  <c r="E20" i="11" s="1"/>
  <c r="E29" i="11"/>
  <c r="N10" i="11" s="1"/>
  <c r="D30" i="11"/>
  <c r="D20" i="11" s="1"/>
  <c r="D29" i="11"/>
  <c r="D28" i="11"/>
  <c r="D10" i="11" s="1"/>
  <c r="F31" i="11"/>
  <c r="O20" i="11" s="1"/>
  <c r="F28" i="11"/>
  <c r="F29" i="11"/>
  <c r="O10" i="11" s="1"/>
  <c r="F30" i="11"/>
  <c r="F20" i="11" s="1"/>
  <c r="Q20" i="7"/>
  <c r="P17" i="7"/>
  <c r="P20" i="7"/>
  <c r="O17" i="7"/>
  <c r="O20" i="7"/>
  <c r="N17" i="7"/>
  <c r="L20" i="7"/>
  <c r="O16" i="7"/>
  <c r="M17" i="7"/>
  <c r="Q16" i="7"/>
  <c r="Q19" i="7"/>
  <c r="P19" i="7"/>
  <c r="N16" i="7"/>
  <c r="N18" i="7"/>
  <c r="P16" i="7"/>
  <c r="L18" i="7"/>
  <c r="L17" i="7"/>
  <c r="O19" i="7"/>
  <c r="R17" i="7"/>
  <c r="R20" i="7"/>
  <c r="M20" i="7"/>
  <c r="N19" i="7"/>
  <c r="M16" i="7"/>
  <c r="Q17" i="7"/>
  <c r="M19" i="7"/>
  <c r="Q18" i="7"/>
  <c r="P18" i="7"/>
  <c r="O18" i="7"/>
  <c r="N20" i="7"/>
  <c r="R18" i="7"/>
  <c r="M18" i="7"/>
  <c r="M8" i="7"/>
  <c r="L8" i="7"/>
  <c r="R7" i="7"/>
  <c r="R10" i="7"/>
  <c r="Q7" i="7"/>
  <c r="Q10" i="7"/>
  <c r="P10" i="7"/>
  <c r="O7" i="7"/>
  <c r="R8" i="7"/>
  <c r="O10" i="7"/>
  <c r="N7" i="7"/>
  <c r="N10" i="7"/>
  <c r="M7" i="7"/>
  <c r="M10" i="7"/>
  <c r="L7" i="7"/>
  <c r="P7" i="7"/>
  <c r="L10" i="7"/>
  <c r="N8" i="7"/>
  <c r="Q6" i="7"/>
  <c r="Q9" i="7"/>
  <c r="P6" i="7"/>
  <c r="P8" i="7"/>
  <c r="N9" i="7"/>
  <c r="M6" i="7"/>
  <c r="M9" i="7"/>
  <c r="O8" i="7"/>
  <c r="P9" i="7"/>
  <c r="O6" i="7"/>
  <c r="O9" i="7"/>
  <c r="N6" i="7"/>
  <c r="Q8" i="7"/>
  <c r="C10" i="7"/>
  <c r="H6" i="7"/>
  <c r="H9" i="7"/>
  <c r="G6" i="7"/>
  <c r="G9" i="7"/>
  <c r="E9" i="7"/>
  <c r="D6" i="7"/>
  <c r="H8" i="7"/>
  <c r="D7" i="7"/>
  <c r="E6" i="7"/>
  <c r="D9" i="7"/>
  <c r="I8" i="7"/>
  <c r="E7" i="7"/>
  <c r="G7" i="7"/>
  <c r="F10" i="7"/>
  <c r="F7" i="7"/>
  <c r="E10" i="7"/>
  <c r="D10" i="7"/>
  <c r="G8" i="7"/>
  <c r="F8" i="7"/>
  <c r="I10" i="7"/>
  <c r="C7" i="7"/>
  <c r="F9" i="7"/>
  <c r="C8" i="7"/>
  <c r="I7" i="7"/>
  <c r="H7" i="7"/>
  <c r="H10" i="7"/>
  <c r="G10" i="7"/>
  <c r="E8" i="7"/>
  <c r="D8" i="7"/>
  <c r="F6" i="7"/>
  <c r="F19" i="7"/>
  <c r="E16" i="7"/>
  <c r="E19" i="7"/>
  <c r="D16" i="7"/>
  <c r="D19" i="7"/>
  <c r="C16" i="7"/>
  <c r="H18" i="7"/>
  <c r="D18" i="7"/>
  <c r="G19" i="7"/>
  <c r="G18" i="7"/>
  <c r="F18" i="7"/>
  <c r="E18" i="7"/>
  <c r="H16" i="7"/>
  <c r="G16" i="7"/>
  <c r="H19" i="7"/>
  <c r="F16" i="7"/>
  <c r="D20" i="7"/>
  <c r="C18" i="7"/>
  <c r="I17" i="7"/>
  <c r="F17" i="7"/>
  <c r="F20" i="7"/>
  <c r="E20" i="7"/>
  <c r="C17" i="7"/>
  <c r="E17" i="7"/>
  <c r="D17" i="7"/>
  <c r="I18" i="7"/>
  <c r="I20" i="7"/>
  <c r="H17" i="7"/>
  <c r="H20" i="7"/>
  <c r="G17" i="7"/>
  <c r="G20" i="7"/>
  <c r="C20" i="7"/>
  <c r="I16" i="7"/>
  <c r="C10" i="4"/>
  <c r="P10" i="4"/>
  <c r="P17" i="4"/>
  <c r="Q17" i="4"/>
  <c r="U10" i="4"/>
  <c r="L6" i="4"/>
  <c r="L16" i="4"/>
  <c r="L18" i="4"/>
  <c r="L8" i="4"/>
  <c r="C18" i="4"/>
  <c r="M6" i="4"/>
  <c r="M16" i="4"/>
  <c r="D6" i="4"/>
  <c r="M18" i="4"/>
  <c r="M8" i="4"/>
  <c r="D18" i="4"/>
  <c r="N6" i="4"/>
  <c r="N16" i="4"/>
  <c r="E6" i="4"/>
  <c r="E10" i="4" s="1"/>
  <c r="N18" i="4"/>
  <c r="N8" i="4"/>
  <c r="E18" i="4"/>
  <c r="O6" i="4"/>
  <c r="O16" i="4"/>
  <c r="F6" i="4"/>
  <c r="O8" i="4"/>
  <c r="F18" i="4"/>
  <c r="F8" i="4"/>
  <c r="Z10" i="4"/>
  <c r="C19" i="4"/>
  <c r="P16" i="4"/>
  <c r="P20" i="4" s="1"/>
  <c r="G6" i="4"/>
  <c r="P8" i="4"/>
  <c r="G18" i="4"/>
  <c r="G20" i="4" s="1"/>
  <c r="G8" i="4"/>
  <c r="Q16" i="4"/>
  <c r="Q20" i="4" s="1"/>
  <c r="H6" i="4"/>
  <c r="H16" i="4"/>
  <c r="Q8" i="4"/>
  <c r="H18" i="4"/>
  <c r="H8" i="4"/>
  <c r="C16" i="4"/>
  <c r="C20" i="4" s="1"/>
  <c r="R16" i="4"/>
  <c r="R20" i="4" s="1"/>
  <c r="I6" i="4"/>
  <c r="I10" i="4" s="1"/>
  <c r="I16" i="4"/>
  <c r="I18" i="4"/>
  <c r="I8" i="4"/>
  <c r="D16" i="4"/>
  <c r="E16" i="4"/>
  <c r="L9" i="4"/>
  <c r="L19" i="4"/>
  <c r="C17" i="4"/>
  <c r="L7" i="4"/>
  <c r="M9" i="4"/>
  <c r="M19" i="4"/>
  <c r="D17" i="4"/>
  <c r="M7" i="4"/>
  <c r="N9" i="4"/>
  <c r="N19" i="4"/>
  <c r="N7" i="4"/>
  <c r="E7" i="4"/>
  <c r="O9" i="4"/>
  <c r="O19" i="4"/>
  <c r="F9" i="4"/>
  <c r="O7" i="4"/>
  <c r="F7" i="4"/>
  <c r="P9" i="4"/>
  <c r="P19" i="4"/>
  <c r="G9" i="4"/>
  <c r="P7" i="4"/>
  <c r="G7" i="4"/>
  <c r="Q9" i="4"/>
  <c r="Q19" i="4"/>
  <c r="H9" i="4"/>
  <c r="L17" i="4"/>
  <c r="R9" i="4"/>
  <c r="R10" i="4" s="1"/>
  <c r="R19" i="4"/>
  <c r="I9" i="4"/>
  <c r="M17" i="4"/>
  <c r="I7" i="4"/>
  <c r="R17" i="4"/>
  <c r="N17" i="4"/>
  <c r="O17" i="4"/>
  <c r="D7" i="4"/>
  <c r="D9" i="4"/>
  <c r="F20" i="4"/>
  <c r="H19" i="4"/>
  <c r="Q7" i="4"/>
  <c r="Q10" i="4" s="1"/>
  <c r="E9" i="4"/>
  <c r="I19" i="4"/>
  <c r="D17" i="5"/>
  <c r="M7" i="5"/>
  <c r="D7" i="5"/>
  <c r="V10" i="5"/>
  <c r="E7" i="5"/>
  <c r="N7" i="5"/>
  <c r="W10" i="5"/>
  <c r="O17" i="5"/>
  <c r="O7" i="5"/>
  <c r="F7" i="5"/>
  <c r="X10" i="5"/>
  <c r="P7" i="5"/>
  <c r="G7" i="5"/>
  <c r="P17" i="5"/>
  <c r="Y10" i="5"/>
  <c r="H7" i="5"/>
  <c r="Q17" i="5"/>
  <c r="Q20" i="5" s="1"/>
  <c r="Z10" i="5"/>
  <c r="I7" i="5"/>
  <c r="R17" i="5"/>
  <c r="R20" i="5" s="1"/>
  <c r="AA10" i="5"/>
  <c r="L18" i="5"/>
  <c r="L8" i="5"/>
  <c r="C18" i="5"/>
  <c r="C8" i="5"/>
  <c r="D18" i="5"/>
  <c r="M18" i="5"/>
  <c r="M8" i="5"/>
  <c r="D8" i="5"/>
  <c r="E17" i="5"/>
  <c r="N18" i="5"/>
  <c r="N8" i="5"/>
  <c r="E18" i="5"/>
  <c r="E8" i="5"/>
  <c r="F17" i="5"/>
  <c r="Q10" i="5"/>
  <c r="O8" i="5"/>
  <c r="F18" i="5"/>
  <c r="F8" i="5"/>
  <c r="G17" i="5"/>
  <c r="R10" i="5"/>
  <c r="P8" i="5"/>
  <c r="G18" i="5"/>
  <c r="G8" i="5"/>
  <c r="H17" i="5"/>
  <c r="U10" i="5"/>
  <c r="L6" i="5"/>
  <c r="L6" i="12" s="1"/>
  <c r="R6" i="12" s="1"/>
  <c r="R6" i="7" s="1"/>
  <c r="L16" i="5"/>
  <c r="L16" i="12" s="1"/>
  <c r="R16" i="12" s="1"/>
  <c r="R16" i="7" s="1"/>
  <c r="C6" i="5"/>
  <c r="C6" i="12" s="1"/>
  <c r="C6" i="7" s="1"/>
  <c r="Q8" i="5"/>
  <c r="H18" i="5"/>
  <c r="H8" i="5"/>
  <c r="I17" i="5"/>
  <c r="M6" i="5"/>
  <c r="M10" i="5" s="1"/>
  <c r="M16" i="5"/>
  <c r="M20" i="5" s="1"/>
  <c r="D6" i="5"/>
  <c r="D10" i="5" s="1"/>
  <c r="I18" i="5"/>
  <c r="I8" i="5"/>
  <c r="E16" i="5"/>
  <c r="E20" i="5" s="1"/>
  <c r="N6" i="5"/>
  <c r="N10" i="5" s="1"/>
  <c r="N16" i="5"/>
  <c r="N20" i="5" s="1"/>
  <c r="E6" i="5"/>
  <c r="E10" i="5" s="1"/>
  <c r="L9" i="5"/>
  <c r="L9" i="12" s="1"/>
  <c r="R9" i="12" s="1"/>
  <c r="R9" i="7" s="1"/>
  <c r="L19" i="5"/>
  <c r="L19" i="12" s="1"/>
  <c r="R19" i="12" s="1"/>
  <c r="R19" i="7" s="1"/>
  <c r="C9" i="5"/>
  <c r="C9" i="12" s="1"/>
  <c r="C9" i="7" s="1"/>
  <c r="M17" i="5"/>
  <c r="O6" i="5"/>
  <c r="O16" i="5"/>
  <c r="F16" i="5"/>
  <c r="F6" i="5"/>
  <c r="M9" i="5"/>
  <c r="M19" i="5"/>
  <c r="D9" i="5"/>
  <c r="N17" i="5"/>
  <c r="P16" i="5"/>
  <c r="G6" i="5"/>
  <c r="G16" i="5"/>
  <c r="N9" i="5"/>
  <c r="N19" i="5"/>
  <c r="E9" i="5"/>
  <c r="O18" i="5"/>
  <c r="F9" i="5"/>
  <c r="O9" i="5"/>
  <c r="O19" i="5"/>
  <c r="P18" i="5"/>
  <c r="P19" i="5"/>
  <c r="P9" i="5"/>
  <c r="G9" i="5"/>
  <c r="G19" i="5"/>
  <c r="Q18" i="5"/>
  <c r="Q7" i="5"/>
  <c r="Q9" i="5"/>
  <c r="Q19" i="5"/>
  <c r="H9" i="5"/>
  <c r="H19" i="5"/>
  <c r="R18" i="5"/>
  <c r="R7" i="5"/>
  <c r="R9" i="5"/>
  <c r="I9" i="5"/>
  <c r="R19" i="5"/>
  <c r="I19" i="5"/>
  <c r="C19" i="5"/>
  <c r="C19" i="12" s="1"/>
  <c r="I19" i="12" s="1"/>
  <c r="I19" i="7" s="1"/>
  <c r="C7" i="5"/>
  <c r="C17" i="5"/>
  <c r="L7" i="5"/>
  <c r="D19" i="5"/>
  <c r="H16" i="5"/>
  <c r="I16" i="5"/>
  <c r="H6" i="5"/>
  <c r="I6" i="5"/>
  <c r="I20" i="10"/>
  <c r="I21" i="10"/>
  <c r="E24" i="10"/>
  <c r="N6" i="10" s="1"/>
  <c r="C24" i="10"/>
  <c r="L7" i="10" s="1"/>
  <c r="F24" i="10"/>
  <c r="O8" i="10" s="1"/>
  <c r="G24" i="10"/>
  <c r="P7" i="10" s="1"/>
  <c r="D24" i="10"/>
  <c r="M6" i="10" s="1"/>
  <c r="H24" i="10"/>
  <c r="Q6" i="10" s="1"/>
  <c r="I11" i="3"/>
  <c r="I9" i="3"/>
  <c r="E12" i="3"/>
  <c r="G8" i="3" s="1"/>
  <c r="F12" i="3"/>
  <c r="I10" i="3"/>
  <c r="I8" i="3"/>
  <c r="D31" i="11" l="1"/>
  <c r="M20" i="11" s="1"/>
  <c r="M18" i="11" s="1"/>
  <c r="M18" i="6" s="1"/>
  <c r="L6" i="7"/>
  <c r="L19" i="7"/>
  <c r="C19" i="7"/>
  <c r="U9" i="12"/>
  <c r="I9" i="12"/>
  <c r="L9" i="7"/>
  <c r="C20" i="5"/>
  <c r="U6" i="12"/>
  <c r="I6" i="12"/>
  <c r="L16" i="7"/>
  <c r="Q19" i="11"/>
  <c r="Q19" i="6" s="1"/>
  <c r="Q16" i="11"/>
  <c r="Q16" i="6" s="1"/>
  <c r="Q18" i="11"/>
  <c r="Q18" i="6" s="1"/>
  <c r="Q17" i="11"/>
  <c r="Q17" i="6" s="1"/>
  <c r="Q20" i="6"/>
  <c r="O20" i="6"/>
  <c r="O16" i="11"/>
  <c r="O16" i="6" s="1"/>
  <c r="O19" i="11"/>
  <c r="O19" i="6" s="1"/>
  <c r="O17" i="11"/>
  <c r="O17" i="6" s="1"/>
  <c r="O18" i="11"/>
  <c r="O18" i="6" s="1"/>
  <c r="D10" i="6"/>
  <c r="D10" i="8" s="1"/>
  <c r="D10" i="9" s="1"/>
  <c r="D9" i="11"/>
  <c r="D8" i="11"/>
  <c r="D7" i="11"/>
  <c r="D6" i="11"/>
  <c r="M10" i="11"/>
  <c r="D20" i="6"/>
  <c r="D19" i="11"/>
  <c r="D19" i="6" s="1"/>
  <c r="D18" i="11"/>
  <c r="D18" i="6" s="1"/>
  <c r="D17" i="11"/>
  <c r="D17" i="6" s="1"/>
  <c r="D16" i="11"/>
  <c r="D16" i="6" s="1"/>
  <c r="N6" i="11"/>
  <c r="N6" i="6" s="1"/>
  <c r="N10" i="6"/>
  <c r="N7" i="11"/>
  <c r="N7" i="6" s="1"/>
  <c r="N9" i="11"/>
  <c r="N9" i="6" s="1"/>
  <c r="N8" i="11"/>
  <c r="N8" i="6" s="1"/>
  <c r="E32" i="11"/>
  <c r="E10" i="11"/>
  <c r="N20" i="6"/>
  <c r="N16" i="11"/>
  <c r="N16" i="6" s="1"/>
  <c r="N19" i="11"/>
  <c r="N19" i="6" s="1"/>
  <c r="N17" i="11"/>
  <c r="N17" i="6" s="1"/>
  <c r="N17" i="8" s="1"/>
  <c r="N17" i="9" s="1"/>
  <c r="N18" i="11"/>
  <c r="N18" i="6" s="1"/>
  <c r="N18" i="8" s="1"/>
  <c r="N18" i="9" s="1"/>
  <c r="L7" i="11"/>
  <c r="L7" i="6" s="1"/>
  <c r="L10" i="6"/>
  <c r="L10" i="8" s="1"/>
  <c r="L10" i="9" s="1"/>
  <c r="L6" i="11"/>
  <c r="L9" i="11"/>
  <c r="L9" i="6" s="1"/>
  <c r="L8" i="11"/>
  <c r="L20" i="6"/>
  <c r="L16" i="11"/>
  <c r="L19" i="11"/>
  <c r="L17" i="11"/>
  <c r="L18" i="11"/>
  <c r="G16" i="11"/>
  <c r="G16" i="6" s="1"/>
  <c r="G19" i="11"/>
  <c r="G20" i="6"/>
  <c r="G20" i="8" s="1"/>
  <c r="G20" i="9" s="1"/>
  <c r="G18" i="11"/>
  <c r="G18" i="6" s="1"/>
  <c r="G17" i="11"/>
  <c r="G17" i="6" s="1"/>
  <c r="P10" i="6"/>
  <c r="P9" i="11"/>
  <c r="P9" i="6" s="1"/>
  <c r="P6" i="11"/>
  <c r="P6" i="6" s="1"/>
  <c r="P7" i="11"/>
  <c r="P7" i="6" s="1"/>
  <c r="P8" i="11"/>
  <c r="P8" i="6" s="1"/>
  <c r="P16" i="11"/>
  <c r="P16" i="6" s="1"/>
  <c r="P20" i="6"/>
  <c r="P19" i="11"/>
  <c r="P19" i="6" s="1"/>
  <c r="P18" i="11"/>
  <c r="P18" i="6" s="1"/>
  <c r="P17" i="11"/>
  <c r="P17" i="6" s="1"/>
  <c r="F16" i="11"/>
  <c r="F16" i="6" s="1"/>
  <c r="F20" i="6"/>
  <c r="F19" i="11"/>
  <c r="F19" i="6" s="1"/>
  <c r="F18" i="11"/>
  <c r="F18" i="6" s="1"/>
  <c r="F17" i="11"/>
  <c r="F17" i="6" s="1"/>
  <c r="Q10" i="6"/>
  <c r="Q8" i="11"/>
  <c r="Q8" i="6" s="1"/>
  <c r="Q9" i="11"/>
  <c r="Q6" i="11"/>
  <c r="Q6" i="6" s="1"/>
  <c r="Q7" i="11"/>
  <c r="F32" i="11"/>
  <c r="F10" i="11"/>
  <c r="E20" i="6"/>
  <c r="E19" i="11"/>
  <c r="E19" i="6" s="1"/>
  <c r="E18" i="11"/>
  <c r="E18" i="6" s="1"/>
  <c r="E17" i="11"/>
  <c r="E17" i="6" s="1"/>
  <c r="E17" i="8" s="1"/>
  <c r="E17" i="9" s="1"/>
  <c r="E16" i="11"/>
  <c r="E16" i="6" s="1"/>
  <c r="C20" i="6"/>
  <c r="C16" i="11"/>
  <c r="C19" i="11"/>
  <c r="C19" i="6" s="1"/>
  <c r="I20" i="11"/>
  <c r="I20" i="6" s="1"/>
  <c r="C18" i="11"/>
  <c r="C17" i="11"/>
  <c r="C10" i="11"/>
  <c r="C32" i="11"/>
  <c r="G32" i="11"/>
  <c r="G10" i="11"/>
  <c r="H16" i="11"/>
  <c r="H16" i="6" s="1"/>
  <c r="H19" i="11"/>
  <c r="H19" i="6" s="1"/>
  <c r="H18" i="11"/>
  <c r="H18" i="6" s="1"/>
  <c r="H18" i="8" s="1"/>
  <c r="H18" i="9" s="1"/>
  <c r="H17" i="11"/>
  <c r="H17" i="6" s="1"/>
  <c r="H20" i="6"/>
  <c r="O10" i="6"/>
  <c r="O6" i="11"/>
  <c r="O6" i="6" s="1"/>
  <c r="O9" i="11"/>
  <c r="O9" i="6" s="1"/>
  <c r="O8" i="11"/>
  <c r="O8" i="6" s="1"/>
  <c r="O8" i="8" s="1"/>
  <c r="O8" i="9" s="1"/>
  <c r="O7" i="11"/>
  <c r="O7" i="6" s="1"/>
  <c r="H32" i="11"/>
  <c r="H10" i="11"/>
  <c r="G9" i="3"/>
  <c r="G11" i="3"/>
  <c r="G10" i="3"/>
  <c r="N20" i="4"/>
  <c r="N10" i="4"/>
  <c r="H20" i="4"/>
  <c r="H10" i="4"/>
  <c r="D10" i="4"/>
  <c r="M20" i="4"/>
  <c r="M10" i="4"/>
  <c r="G10" i="4"/>
  <c r="L20" i="4"/>
  <c r="L10" i="4"/>
  <c r="E20" i="4"/>
  <c r="D20" i="4"/>
  <c r="F10" i="4"/>
  <c r="O20" i="4"/>
  <c r="I20" i="4"/>
  <c r="O10" i="4"/>
  <c r="P10" i="5"/>
  <c r="L20" i="5"/>
  <c r="G10" i="5"/>
  <c r="D20" i="5"/>
  <c r="G20" i="5"/>
  <c r="P20" i="5"/>
  <c r="C10" i="5"/>
  <c r="F10" i="5"/>
  <c r="F20" i="5"/>
  <c r="L10" i="5"/>
  <c r="I10" i="5"/>
  <c r="O20" i="5"/>
  <c r="H10" i="5"/>
  <c r="O10" i="5"/>
  <c r="I20" i="5"/>
  <c r="H20" i="5"/>
  <c r="N7" i="10"/>
  <c r="P9" i="10"/>
  <c r="Q7" i="10"/>
  <c r="L6" i="10"/>
  <c r="Q9" i="10"/>
  <c r="O9" i="10"/>
  <c r="N9" i="10"/>
  <c r="M9" i="10"/>
  <c r="Q8" i="10"/>
  <c r="Q10" i="10" s="1"/>
  <c r="P8" i="10"/>
  <c r="N8" i="10"/>
  <c r="N10" i="10" s="1"/>
  <c r="M8" i="10"/>
  <c r="O7" i="10"/>
  <c r="M7" i="10"/>
  <c r="M10" i="10" s="1"/>
  <c r="P6" i="10"/>
  <c r="P10" i="10" s="1"/>
  <c r="L9" i="10"/>
  <c r="L8" i="10"/>
  <c r="L10" i="10" s="1"/>
  <c r="O6" i="10"/>
  <c r="O10" i="10" s="1"/>
  <c r="I24" i="10"/>
  <c r="H10" i="3"/>
  <c r="I12" i="3"/>
  <c r="H11" i="3"/>
  <c r="H8" i="3"/>
  <c r="H9" i="3"/>
  <c r="M16" i="11" l="1"/>
  <c r="M16" i="6" s="1"/>
  <c r="M20" i="6"/>
  <c r="R20" i="11"/>
  <c r="R20" i="6" s="1"/>
  <c r="R20" i="8" s="1"/>
  <c r="D32" i="11"/>
  <c r="M17" i="11"/>
  <c r="M17" i="6" s="1"/>
  <c r="M19" i="11"/>
  <c r="M19" i="6" s="1"/>
  <c r="AA9" i="12"/>
  <c r="I9" i="7"/>
  <c r="AA6" i="12"/>
  <c r="I6" i="7"/>
  <c r="O19" i="8"/>
  <c r="O19" i="9" s="1"/>
  <c r="G16" i="8"/>
  <c r="G16" i="9" s="1"/>
  <c r="M19" i="8"/>
  <c r="M19" i="9" s="1"/>
  <c r="O18" i="8"/>
  <c r="O18" i="9" s="1"/>
  <c r="H19" i="8"/>
  <c r="H19" i="9" s="1"/>
  <c r="Q8" i="8"/>
  <c r="Q8" i="9" s="1"/>
  <c r="N9" i="8"/>
  <c r="N9" i="9" s="1"/>
  <c r="N16" i="8"/>
  <c r="N16" i="9" s="1"/>
  <c r="M20" i="8"/>
  <c r="M20" i="9" s="1"/>
  <c r="P8" i="8"/>
  <c r="P8" i="9" s="1"/>
  <c r="H20" i="8"/>
  <c r="H20" i="9" s="1"/>
  <c r="E20" i="8"/>
  <c r="E20" i="9" s="1"/>
  <c r="Q17" i="8"/>
  <c r="Q17" i="9" s="1"/>
  <c r="G17" i="8"/>
  <c r="G17" i="9" s="1"/>
  <c r="P9" i="8"/>
  <c r="P9" i="9" s="1"/>
  <c r="H16" i="8"/>
  <c r="H16" i="9" s="1"/>
  <c r="Q6" i="8"/>
  <c r="Q6" i="9" s="1"/>
  <c r="D19" i="8"/>
  <c r="D19" i="9" s="1"/>
  <c r="M17" i="8"/>
  <c r="M17" i="9" s="1"/>
  <c r="P17" i="8"/>
  <c r="P17" i="9" s="1"/>
  <c r="N6" i="8"/>
  <c r="N6" i="9" s="1"/>
  <c r="D18" i="8"/>
  <c r="D18" i="9" s="1"/>
  <c r="P16" i="8"/>
  <c r="P16" i="9" s="1"/>
  <c r="O7" i="8"/>
  <c r="O7" i="9" s="1"/>
  <c r="Q18" i="8"/>
  <c r="Q18" i="9" s="1"/>
  <c r="D16" i="8"/>
  <c r="D16" i="9" s="1"/>
  <c r="F16" i="8"/>
  <c r="F16" i="9" s="1"/>
  <c r="P18" i="8"/>
  <c r="P18" i="9" s="1"/>
  <c r="D17" i="8"/>
  <c r="D17" i="9" s="1"/>
  <c r="Q16" i="8"/>
  <c r="Q16" i="9" s="1"/>
  <c r="L7" i="8"/>
  <c r="L7" i="9" s="1"/>
  <c r="Q19" i="8"/>
  <c r="Q19" i="9" s="1"/>
  <c r="E18" i="8"/>
  <c r="E18" i="9" s="1"/>
  <c r="R19" i="11"/>
  <c r="R19" i="6" s="1"/>
  <c r="L19" i="6"/>
  <c r="M6" i="11"/>
  <c r="M6" i="6" s="1"/>
  <c r="M10" i="6"/>
  <c r="M8" i="11"/>
  <c r="M8" i="6" s="1"/>
  <c r="M9" i="11"/>
  <c r="M9" i="6" s="1"/>
  <c r="M7" i="11"/>
  <c r="M7" i="6" s="1"/>
  <c r="P7" i="8"/>
  <c r="P7" i="9" s="1"/>
  <c r="O20" i="8"/>
  <c r="O20" i="9" s="1"/>
  <c r="D7" i="6"/>
  <c r="V10" i="11"/>
  <c r="C19" i="8"/>
  <c r="C19" i="9" s="1"/>
  <c r="N7" i="8"/>
  <c r="N7" i="9" s="1"/>
  <c r="P20" i="8"/>
  <c r="P20" i="9" s="1"/>
  <c r="I17" i="11"/>
  <c r="I17" i="6" s="1"/>
  <c r="C17" i="6"/>
  <c r="P19" i="8"/>
  <c r="P19" i="9" s="1"/>
  <c r="E19" i="8"/>
  <c r="E19" i="9" s="1"/>
  <c r="F18" i="8"/>
  <c r="F18" i="9" s="1"/>
  <c r="I20" i="8"/>
  <c r="Q9" i="6"/>
  <c r="C16" i="6"/>
  <c r="I16" i="11"/>
  <c r="I16" i="6" s="1"/>
  <c r="L16" i="6"/>
  <c r="R16" i="11"/>
  <c r="R16" i="6" s="1"/>
  <c r="N20" i="8"/>
  <c r="N20" i="9" s="1"/>
  <c r="F17" i="8"/>
  <c r="F17" i="9" s="1"/>
  <c r="D6" i="6"/>
  <c r="D9" i="6"/>
  <c r="L8" i="6"/>
  <c r="D20" i="8"/>
  <c r="D20" i="9" s="1"/>
  <c r="C20" i="8"/>
  <c r="C20" i="9" s="1"/>
  <c r="F19" i="8"/>
  <c r="F19" i="9" s="1"/>
  <c r="I19" i="11"/>
  <c r="I19" i="6" s="1"/>
  <c r="G19" i="6"/>
  <c r="L6" i="6"/>
  <c r="R10" i="11"/>
  <c r="R10" i="6" s="1"/>
  <c r="H17" i="8"/>
  <c r="H17" i="9" s="1"/>
  <c r="O10" i="8"/>
  <c r="O10" i="9" s="1"/>
  <c r="E16" i="8"/>
  <c r="E16" i="9" s="1"/>
  <c r="N8" i="8"/>
  <c r="N8" i="9" s="1"/>
  <c r="X10" i="11"/>
  <c r="F7" i="11"/>
  <c r="F10" i="6"/>
  <c r="F9" i="11"/>
  <c r="F8" i="11"/>
  <c r="F6" i="11"/>
  <c r="N10" i="8"/>
  <c r="N10" i="9" s="1"/>
  <c r="C18" i="6"/>
  <c r="I18" i="11"/>
  <c r="I18" i="6" s="1"/>
  <c r="P6" i="8"/>
  <c r="P6" i="9" s="1"/>
  <c r="Q7" i="6"/>
  <c r="L9" i="8"/>
  <c r="L9" i="9" s="1"/>
  <c r="R18" i="11"/>
  <c r="R18" i="6" s="1"/>
  <c r="L18" i="6"/>
  <c r="N19" i="8"/>
  <c r="N19" i="9" s="1"/>
  <c r="Q10" i="8"/>
  <c r="Q10" i="9" s="1"/>
  <c r="G6" i="11"/>
  <c r="G7" i="11"/>
  <c r="G10" i="6"/>
  <c r="Y10" i="11"/>
  <c r="G8" i="11"/>
  <c r="G9" i="11"/>
  <c r="W10" i="11"/>
  <c r="E10" i="6"/>
  <c r="E9" i="11"/>
  <c r="E8" i="11"/>
  <c r="E7" i="11"/>
  <c r="E6" i="11"/>
  <c r="O16" i="8"/>
  <c r="O16" i="9" s="1"/>
  <c r="D8" i="6"/>
  <c r="O6" i="8"/>
  <c r="O6" i="9" s="1"/>
  <c r="Q20" i="8"/>
  <c r="Q20" i="9" s="1"/>
  <c r="M18" i="8"/>
  <c r="M18" i="9" s="1"/>
  <c r="C6" i="11"/>
  <c r="C8" i="11"/>
  <c r="U10" i="11"/>
  <c r="C10" i="6"/>
  <c r="C9" i="11"/>
  <c r="C7" i="11"/>
  <c r="I10" i="11"/>
  <c r="G18" i="8"/>
  <c r="G18" i="9" s="1"/>
  <c r="L20" i="8"/>
  <c r="L20" i="9" s="1"/>
  <c r="O9" i="8"/>
  <c r="O9" i="9" s="1"/>
  <c r="H6" i="11"/>
  <c r="H7" i="11"/>
  <c r="H10" i="6"/>
  <c r="Z10" i="11"/>
  <c r="H8" i="11"/>
  <c r="H9" i="11"/>
  <c r="F20" i="8"/>
  <c r="F20" i="9" s="1"/>
  <c r="O17" i="8"/>
  <c r="O17" i="9" s="1"/>
  <c r="L17" i="6"/>
  <c r="M16" i="8"/>
  <c r="M16" i="9" s="1"/>
  <c r="P10" i="8"/>
  <c r="P10" i="9" s="1"/>
  <c r="R8" i="10"/>
  <c r="R9" i="10"/>
  <c r="R6" i="10"/>
  <c r="R7" i="10"/>
  <c r="R17" i="11" l="1"/>
  <c r="R17" i="6" s="1"/>
  <c r="V6" i="11"/>
  <c r="V9" i="11"/>
  <c r="V7" i="11"/>
  <c r="R20" i="9"/>
  <c r="I20" i="9"/>
  <c r="R7" i="11"/>
  <c r="R7" i="6" s="1"/>
  <c r="R7" i="8" s="1"/>
  <c r="V8" i="11"/>
  <c r="R8" i="11"/>
  <c r="R8" i="6" s="1"/>
  <c r="R8" i="8" s="1"/>
  <c r="R18" i="8"/>
  <c r="C17" i="8"/>
  <c r="C17" i="9" s="1"/>
  <c r="I17" i="9" s="1"/>
  <c r="D8" i="8"/>
  <c r="D8" i="9" s="1"/>
  <c r="F6" i="6"/>
  <c r="X6" i="11"/>
  <c r="W9" i="11"/>
  <c r="E9" i="6"/>
  <c r="F10" i="8"/>
  <c r="R16" i="8"/>
  <c r="M6" i="8"/>
  <c r="M6" i="9" s="1"/>
  <c r="C8" i="6"/>
  <c r="U8" i="11"/>
  <c r="L6" i="8"/>
  <c r="L6" i="9" s="1"/>
  <c r="I18" i="8"/>
  <c r="E6" i="6"/>
  <c r="W6" i="11"/>
  <c r="W7" i="11"/>
  <c r="E7" i="6"/>
  <c r="H10" i="8"/>
  <c r="E8" i="6"/>
  <c r="W8" i="11"/>
  <c r="X8" i="11"/>
  <c r="F8" i="6"/>
  <c r="D7" i="8"/>
  <c r="D7" i="9" s="1"/>
  <c r="Z6" i="11"/>
  <c r="H6" i="6"/>
  <c r="M9" i="8"/>
  <c r="M9" i="9" s="1"/>
  <c r="L18" i="8"/>
  <c r="L18" i="9" s="1"/>
  <c r="R18" i="9" s="1"/>
  <c r="U6" i="11"/>
  <c r="C6" i="6"/>
  <c r="I6" i="11"/>
  <c r="G19" i="8"/>
  <c r="G19" i="9" s="1"/>
  <c r="I19" i="9" s="1"/>
  <c r="I19" i="8"/>
  <c r="L17" i="8"/>
  <c r="L17" i="9" s="1"/>
  <c r="R17" i="9" s="1"/>
  <c r="Q7" i="8"/>
  <c r="Q7" i="9" s="1"/>
  <c r="R17" i="8"/>
  <c r="I17" i="8"/>
  <c r="H9" i="6"/>
  <c r="Z9" i="11"/>
  <c r="C18" i="8"/>
  <c r="C18" i="9" s="1"/>
  <c r="I18" i="9" s="1"/>
  <c r="L8" i="8"/>
  <c r="L8" i="9" s="1"/>
  <c r="H8" i="6"/>
  <c r="Z8" i="11"/>
  <c r="D9" i="8"/>
  <c r="D9" i="9" s="1"/>
  <c r="H7" i="6"/>
  <c r="Z7" i="11"/>
  <c r="F9" i="6"/>
  <c r="X9" i="11"/>
  <c r="D6" i="8"/>
  <c r="D6" i="9" s="1"/>
  <c r="E10" i="8"/>
  <c r="X7" i="11"/>
  <c r="F7" i="6"/>
  <c r="I9" i="11"/>
  <c r="G9" i="6"/>
  <c r="Y9" i="11"/>
  <c r="I8" i="11"/>
  <c r="G8" i="6"/>
  <c r="Y8" i="11"/>
  <c r="M7" i="8"/>
  <c r="M7" i="9" s="1"/>
  <c r="L16" i="8"/>
  <c r="L16" i="9" s="1"/>
  <c r="R16" i="9" s="1"/>
  <c r="AA10" i="11"/>
  <c r="I10" i="6"/>
  <c r="G10" i="8"/>
  <c r="M8" i="8"/>
  <c r="M8" i="9" s="1"/>
  <c r="U7" i="11"/>
  <c r="C7" i="6"/>
  <c r="I7" i="11"/>
  <c r="G7" i="6"/>
  <c r="Y7" i="11"/>
  <c r="I16" i="8"/>
  <c r="M10" i="8"/>
  <c r="U9" i="11"/>
  <c r="C9" i="6"/>
  <c r="G6" i="6"/>
  <c r="Y6" i="11"/>
  <c r="C16" i="8"/>
  <c r="C16" i="9" s="1"/>
  <c r="I16" i="9" s="1"/>
  <c r="C10" i="8"/>
  <c r="R10" i="8"/>
  <c r="Q9" i="8"/>
  <c r="Q9" i="9" s="1"/>
  <c r="L19" i="8"/>
  <c r="L19" i="9" s="1"/>
  <c r="R19" i="9" s="1"/>
  <c r="R6" i="11"/>
  <c r="R6" i="6" s="1"/>
  <c r="R9" i="11"/>
  <c r="R9" i="6" s="1"/>
  <c r="R19" i="8"/>
  <c r="R10" i="10"/>
  <c r="D28" i="9" l="1"/>
  <c r="R7" i="9"/>
  <c r="D27" i="9"/>
  <c r="R9" i="9"/>
  <c r="R8" i="9"/>
  <c r="F30" i="8"/>
  <c r="F10" i="9"/>
  <c r="D26" i="9"/>
  <c r="E30" i="8"/>
  <c r="E10" i="9"/>
  <c r="D29" i="9"/>
  <c r="G30" i="8"/>
  <c r="G10" i="9"/>
  <c r="C30" i="8"/>
  <c r="C10" i="9"/>
  <c r="D30" i="8"/>
  <c r="M10" i="9"/>
  <c r="H30" i="8"/>
  <c r="H10" i="9"/>
  <c r="R6" i="9"/>
  <c r="H8" i="8"/>
  <c r="G6" i="8"/>
  <c r="C8" i="8"/>
  <c r="C9" i="8"/>
  <c r="G8" i="8"/>
  <c r="H6" i="8"/>
  <c r="I9" i="6"/>
  <c r="AA9" i="11"/>
  <c r="F8" i="8"/>
  <c r="C7" i="8"/>
  <c r="AA8" i="11"/>
  <c r="I8" i="6"/>
  <c r="H9" i="8"/>
  <c r="D27" i="8"/>
  <c r="G9" i="8"/>
  <c r="F7" i="8"/>
  <c r="E9" i="8"/>
  <c r="G7" i="8"/>
  <c r="E8" i="8"/>
  <c r="R9" i="8"/>
  <c r="I7" i="6"/>
  <c r="AA7" i="11"/>
  <c r="R6" i="8"/>
  <c r="D26" i="8"/>
  <c r="F6" i="8"/>
  <c r="E7" i="8"/>
  <c r="F9" i="8"/>
  <c r="D28" i="8"/>
  <c r="E6" i="8"/>
  <c r="H7" i="8"/>
  <c r="I10" i="8"/>
  <c r="I30" i="8" s="1"/>
  <c r="D29" i="8"/>
  <c r="AA6" i="11"/>
  <c r="I6" i="6"/>
  <c r="C6" i="8"/>
  <c r="F30" i="9" l="1"/>
  <c r="G30" i="9"/>
  <c r="H30" i="9"/>
  <c r="E30" i="9"/>
  <c r="F29" i="8"/>
  <c r="F9" i="9"/>
  <c r="F29" i="9" s="1"/>
  <c r="C29" i="8"/>
  <c r="C9" i="9"/>
  <c r="F26" i="8"/>
  <c r="F6" i="9"/>
  <c r="F26" i="9" s="1"/>
  <c r="E28" i="8"/>
  <c r="E8" i="9"/>
  <c r="E28" i="9" s="1"/>
  <c r="D30" i="9"/>
  <c r="R10" i="9"/>
  <c r="E29" i="8"/>
  <c r="E9" i="9"/>
  <c r="E29" i="9" s="1"/>
  <c r="F27" i="8"/>
  <c r="F7" i="9"/>
  <c r="F27" i="9" s="1"/>
  <c r="C26" i="8"/>
  <c r="C6" i="9"/>
  <c r="H29" i="8"/>
  <c r="H9" i="9"/>
  <c r="H29" i="9" s="1"/>
  <c r="F28" i="8"/>
  <c r="F8" i="9"/>
  <c r="F28" i="9" s="1"/>
  <c r="E26" i="8"/>
  <c r="E6" i="9"/>
  <c r="E26" i="9" s="1"/>
  <c r="H26" i="8"/>
  <c r="H6" i="9"/>
  <c r="H26" i="9" s="1"/>
  <c r="G28" i="8"/>
  <c r="G8" i="9"/>
  <c r="G28" i="9" s="1"/>
  <c r="E27" i="8"/>
  <c r="E7" i="9"/>
  <c r="E27" i="9" s="1"/>
  <c r="C28" i="8"/>
  <c r="C8" i="9"/>
  <c r="G26" i="8"/>
  <c r="G6" i="9"/>
  <c r="G26" i="9" s="1"/>
  <c r="H28" i="8"/>
  <c r="H8" i="9"/>
  <c r="H28" i="9" s="1"/>
  <c r="G27" i="8"/>
  <c r="G7" i="9"/>
  <c r="G27" i="9" s="1"/>
  <c r="C30" i="9"/>
  <c r="I10" i="9"/>
  <c r="G29" i="8"/>
  <c r="G9" i="9"/>
  <c r="G29" i="9" s="1"/>
  <c r="C27" i="8"/>
  <c r="C7" i="9"/>
  <c r="H27" i="8"/>
  <c r="H7" i="9"/>
  <c r="H27" i="9" s="1"/>
  <c r="I8" i="8"/>
  <c r="I28" i="8" s="1"/>
  <c r="I6" i="8"/>
  <c r="I26" i="8" s="1"/>
  <c r="I7" i="8"/>
  <c r="I27" i="8" s="1"/>
  <c r="I9" i="8"/>
  <c r="I29" i="8" s="1"/>
  <c r="I30" i="9" l="1"/>
  <c r="C27" i="9"/>
  <c r="I7" i="9"/>
  <c r="I27" i="9" s="1"/>
  <c r="C28" i="9"/>
  <c r="I8" i="9"/>
  <c r="I28" i="9" s="1"/>
  <c r="I6" i="9"/>
  <c r="I26" i="9" s="1"/>
  <c r="C26" i="9"/>
  <c r="I9" i="9"/>
  <c r="I29" i="9" s="1"/>
  <c r="C29"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Richard Blackwell</author>
  </authors>
  <commentList>
    <comment ref="C5" authorId="0" shapeId="0" xr:uid="{7147BE22-64E3-424E-9C9B-E9F0EDB14F2F}">
      <text>
        <r>
          <rPr>
            <b/>
            <sz val="9"/>
            <color indexed="81"/>
            <rFont val="Tahoma"/>
            <family val="2"/>
          </rPr>
          <t>LEVEL 1:</t>
        </r>
        <r>
          <rPr>
            <sz val="9"/>
            <color indexed="81"/>
            <rFont val="Tahoma"/>
            <family val="2"/>
          </rPr>
          <t xml:space="preserve">
Requires no training at all and generally will not involve complex
technology.</t>
        </r>
      </text>
    </comment>
    <comment ref="D5" authorId="0" shapeId="0" xr:uid="{9374A02C-3855-4F82-BF21-D89F36F66964}">
      <text>
        <r>
          <rPr>
            <b/>
            <sz val="9"/>
            <color indexed="81"/>
            <rFont val="Tahoma"/>
            <family val="2"/>
          </rPr>
          <t>LEVEL 2:</t>
        </r>
        <r>
          <rPr>
            <sz val="9"/>
            <color indexed="81"/>
            <rFont val="Tahoma"/>
            <family val="2"/>
          </rPr>
          <t xml:space="preserve">
Requires some training, induction or education of up to a year, or
substantial experience of around five years in the role.</t>
        </r>
      </text>
    </comment>
    <comment ref="E5" authorId="0" shapeId="0" xr:uid="{129C0347-7BA3-46B5-A2F0-A544E2F492C1}">
      <text>
        <r>
          <rPr>
            <b/>
            <sz val="9"/>
            <color indexed="81"/>
            <rFont val="Tahoma"/>
            <family val="2"/>
          </rPr>
          <t>LEVEL 3:</t>
        </r>
        <r>
          <rPr>
            <sz val="9"/>
            <color indexed="81"/>
            <rFont val="Tahoma"/>
            <family val="2"/>
          </rPr>
          <t xml:space="preserve">
Requires three to four years of formal education and are associated
with junior non-medical professions (e.g. occupational therapists).</t>
        </r>
      </text>
    </comment>
    <comment ref="F5" authorId="0" shapeId="0" xr:uid="{1124C6A5-3FF5-4373-A63A-B2D29EB91DCD}">
      <text>
        <r>
          <rPr>
            <b/>
            <sz val="9"/>
            <color indexed="81"/>
            <rFont val="Tahoma"/>
            <family val="2"/>
          </rPr>
          <t>LEVEL 4:</t>
        </r>
        <r>
          <rPr>
            <sz val="9"/>
            <color indexed="81"/>
            <rFont val="Tahoma"/>
            <family val="2"/>
          </rPr>
          <t xml:space="preserve">
Requires either four to six
years of formal education or
three to four years education
together with substantial
experience. These activities are associated with technical or scientific
professionals such as pharmacists or senior non-medical professions
(Agenda for Change bands 7-8).</t>
        </r>
      </text>
    </comment>
    <comment ref="G5" authorId="0" shapeId="0" xr:uid="{9A9C9CBC-26C9-42AE-B9B9-3C41DC25F9CA}">
      <text>
        <r>
          <rPr>
            <b/>
            <sz val="9"/>
            <color indexed="81"/>
            <rFont val="Tahoma"/>
            <family val="2"/>
          </rPr>
          <t>LEVEL 5:</t>
        </r>
        <r>
          <rPr>
            <sz val="9"/>
            <color indexed="81"/>
            <rFont val="Tahoma"/>
            <family val="2"/>
          </rPr>
          <t xml:space="preserve">
Requires over six years of formal
education and are generally associated
with junior medical and dental staff.</t>
        </r>
      </text>
    </comment>
    <comment ref="H5" authorId="0" shapeId="0" xr:uid="{C95812BF-2592-49B2-AFB8-8A45DE71AF4D}">
      <text>
        <r>
          <rPr>
            <b/>
            <sz val="9"/>
            <color indexed="81"/>
            <rFont val="Tahoma"/>
            <family val="2"/>
          </rPr>
          <t>LEVEL 6:</t>
        </r>
        <r>
          <rPr>
            <sz val="9"/>
            <color indexed="81"/>
            <rFont val="Tahoma"/>
            <family val="2"/>
          </rPr>
          <t xml:space="preserve">
Requires over six years of formal education and significant experience
in post. These skills are associated with consultant and associate
specialist grade medical and dental staff.</t>
        </r>
      </text>
    </comment>
    <comment ref="L5" authorId="0" shapeId="0" xr:uid="{E1820A71-61E8-4411-883D-C35EAF584725}">
      <text>
        <r>
          <rPr>
            <b/>
            <sz val="9"/>
            <color indexed="81"/>
            <rFont val="Tahoma"/>
            <family val="2"/>
          </rPr>
          <t>GROUP A:</t>
        </r>
        <r>
          <rPr>
            <sz val="9"/>
            <color indexed="81"/>
            <rFont val="Tahoma"/>
            <family val="2"/>
          </rPr>
          <t xml:space="preserve">
Requires no training at all and generally will not involve complex technology.</t>
        </r>
      </text>
    </comment>
    <comment ref="M5" authorId="0" shapeId="0" xr:uid="{9990DB8A-7FC7-447C-9301-2646F00FA2B2}">
      <text>
        <r>
          <rPr>
            <b/>
            <sz val="9"/>
            <color indexed="81"/>
            <rFont val="Tahoma"/>
            <family val="2"/>
          </rPr>
          <t>GROUP B:</t>
        </r>
        <r>
          <rPr>
            <sz val="9"/>
            <color indexed="81"/>
            <rFont val="Tahoma"/>
            <family val="2"/>
          </rPr>
          <t xml:space="preserve">
Requires some training, induction or education of up to a year, or substantial experience of around five years in the role.</t>
        </r>
      </text>
    </comment>
    <comment ref="N5" authorId="0" shapeId="0" xr:uid="{983CAC6A-2D35-4258-8721-FD683941836E}">
      <text>
        <r>
          <rPr>
            <b/>
            <sz val="9"/>
            <color indexed="81"/>
            <rFont val="Tahoma"/>
            <family val="2"/>
          </rPr>
          <t>GROUP C:</t>
        </r>
        <r>
          <rPr>
            <sz val="9"/>
            <color indexed="81"/>
            <rFont val="Tahoma"/>
            <family val="2"/>
          </rPr>
          <t xml:space="preserve">
Requires three to four years of formal education and are associated
with junior non-medical professions (e.g. occupational therapists).</t>
        </r>
      </text>
    </comment>
    <comment ref="O5" authorId="0" shapeId="0" xr:uid="{0C2EB40D-3F49-48E6-8DB2-F22D9B9221B5}">
      <text>
        <r>
          <rPr>
            <b/>
            <sz val="9"/>
            <color indexed="81"/>
            <rFont val="Tahoma"/>
            <family val="2"/>
          </rPr>
          <t>GROUP D:</t>
        </r>
        <r>
          <rPr>
            <sz val="9"/>
            <color indexed="81"/>
            <rFont val="Tahoma"/>
            <family val="2"/>
          </rPr>
          <t xml:space="preserve">
Requires either four to six years of formal education or three to four years education together with substantial experience. These activities are associated with technical or scientific professionals such as pharmacists or senior non-medical professions (Agenda for Change bands 7-8).</t>
        </r>
      </text>
    </comment>
    <comment ref="P5" authorId="0" shapeId="0" xr:uid="{A6FE2289-7B68-4CF5-8F9F-DB92215CA654}">
      <text>
        <r>
          <rPr>
            <b/>
            <sz val="9"/>
            <color indexed="81"/>
            <rFont val="Tahoma"/>
            <family val="2"/>
          </rPr>
          <t xml:space="preserve">GROUP E:
</t>
        </r>
        <r>
          <rPr>
            <sz val="9"/>
            <color indexed="81"/>
            <rFont val="Tahoma"/>
            <family val="2"/>
          </rPr>
          <t>Requires over six years of formal education and are generally associated with junior medical and dental staff.</t>
        </r>
      </text>
    </comment>
    <comment ref="Q5" authorId="0" shapeId="0" xr:uid="{A45B761D-554C-4EA2-A7C5-EB1822ACCE71}">
      <text>
        <r>
          <rPr>
            <b/>
            <sz val="9"/>
            <color indexed="81"/>
            <rFont val="Tahoma"/>
            <family val="2"/>
          </rPr>
          <t>GROUP F:</t>
        </r>
        <r>
          <rPr>
            <sz val="9"/>
            <color indexed="81"/>
            <rFont val="Tahoma"/>
            <family val="2"/>
          </rPr>
          <t xml:space="preserve">
Requires over six years of formal education and significant experience in post. These skills are associated with consultant and associate specialist grade medical and dental staff.</t>
        </r>
      </text>
    </comment>
    <comment ref="B6" authorId="0" shapeId="0" xr:uid="{1CDF1583-A61C-43D0-98F6-FD9FA1F6FEFC}">
      <text>
        <r>
          <rPr>
            <b/>
            <sz val="9"/>
            <color indexed="81"/>
            <rFont val="Tahoma"/>
            <family val="2"/>
          </rPr>
          <t>PREVENT:</t>
        </r>
        <r>
          <rPr>
            <sz val="9"/>
            <color indexed="81"/>
            <rFont val="Tahoma"/>
            <family val="2"/>
          </rPr>
          <t xml:space="preserve">
Reduce the instance or incidence of ill health and demand for care.</t>
        </r>
      </text>
    </comment>
    <comment ref="K6" authorId="0" shapeId="0" xr:uid="{DFD8ABE8-EEED-4AA2-9AF0-C352A8E7EC19}">
      <text>
        <r>
          <rPr>
            <b/>
            <sz val="9"/>
            <color indexed="81"/>
            <rFont val="Tahoma"/>
            <family val="2"/>
          </rPr>
          <t>PREVENT:</t>
        </r>
        <r>
          <rPr>
            <sz val="9"/>
            <color indexed="81"/>
            <rFont val="Tahoma"/>
            <family val="2"/>
          </rPr>
          <t xml:space="preserve">
Reduce the instance or incidence of ill health and demand for care.
</t>
        </r>
        <r>
          <rPr>
            <b/>
            <sz val="9"/>
            <color indexed="81"/>
            <rFont val="Tahoma"/>
            <family val="2"/>
          </rPr>
          <t>ENABLE:</t>
        </r>
        <r>
          <rPr>
            <sz val="9"/>
            <color indexed="81"/>
            <rFont val="Tahoma"/>
            <family val="2"/>
          </rPr>
          <t xml:space="preserve">
Increase the control and capacity service users have to improve their situation.
</t>
        </r>
        <r>
          <rPr>
            <b/>
            <sz val="9"/>
            <color indexed="81"/>
            <rFont val="Tahoma"/>
            <family val="2"/>
          </rPr>
          <t>REHABILITATE:</t>
        </r>
        <r>
          <rPr>
            <sz val="9"/>
            <color indexed="81"/>
            <rFont val="Tahoma"/>
            <family val="2"/>
          </rPr>
          <t xml:space="preserve">
Restore functionality, independence, articipation and even purpose of service user.</t>
        </r>
      </text>
    </comment>
    <comment ref="B7" authorId="0" shapeId="0" xr:uid="{380CF002-6B75-44D2-9954-7A40D9DF92ED}">
      <text>
        <r>
          <rPr>
            <b/>
            <sz val="9"/>
            <color indexed="81"/>
            <rFont val="Tahoma"/>
            <family val="2"/>
          </rPr>
          <t>ENABLE:</t>
        </r>
        <r>
          <rPr>
            <sz val="9"/>
            <color indexed="81"/>
            <rFont val="Tahoma"/>
            <family val="2"/>
          </rPr>
          <t xml:space="preserve">
Increase the control and capacity service users have to improve
their situation.</t>
        </r>
      </text>
    </comment>
    <comment ref="K7" authorId="0" shapeId="0" xr:uid="{AA5BBF5C-F84A-4FAE-943D-DDDE4C6FEA22}">
      <text>
        <r>
          <rPr>
            <b/>
            <sz val="9"/>
            <color indexed="81"/>
            <rFont val="Tahoma"/>
            <family val="2"/>
          </rPr>
          <t xml:space="preserve">ASSESS:
</t>
        </r>
        <r>
          <rPr>
            <sz val="9"/>
            <color indexed="81"/>
            <rFont val="Tahoma"/>
            <family val="2"/>
          </rPr>
          <t xml:space="preserve">Identify and understand a presenting problem, including evaluations.
</t>
        </r>
        <r>
          <rPr>
            <b/>
            <sz val="9"/>
            <color indexed="81"/>
            <rFont val="Tahoma"/>
            <family val="2"/>
          </rPr>
          <t>PLAN:</t>
        </r>
        <r>
          <rPr>
            <sz val="9"/>
            <color indexed="81"/>
            <rFont val="Tahoma"/>
            <family val="2"/>
          </rPr>
          <t xml:space="preserve">
Define the package of skills required to meet service user needs.</t>
        </r>
      </text>
    </comment>
    <comment ref="B8" authorId="0" shapeId="0" xr:uid="{32F3EC69-4CAF-4AEE-A049-44658CE7878D}">
      <text>
        <r>
          <rPr>
            <b/>
            <sz val="9"/>
            <color indexed="81"/>
            <rFont val="Tahoma"/>
            <family val="2"/>
          </rPr>
          <t>ASSESS:</t>
        </r>
        <r>
          <rPr>
            <sz val="9"/>
            <color indexed="81"/>
            <rFont val="Tahoma"/>
            <family val="2"/>
          </rPr>
          <t xml:space="preserve">
Identify and understand a presenting problem, including evaluations.</t>
        </r>
      </text>
    </comment>
    <comment ref="K8" authorId="0" shapeId="0" xr:uid="{BA6F5AAC-B1A0-4560-B192-3A410D46598C}">
      <text>
        <r>
          <rPr>
            <b/>
            <sz val="9"/>
            <color indexed="81"/>
            <rFont val="Tahoma"/>
            <family val="2"/>
          </rPr>
          <t xml:space="preserve">TREAT:
</t>
        </r>
        <r>
          <rPr>
            <sz val="9"/>
            <color indexed="81"/>
            <rFont val="Tahoma"/>
            <family val="2"/>
          </rPr>
          <t xml:space="preserve">Change the condition and restore the service user to good, or improved health.
</t>
        </r>
        <r>
          <rPr>
            <b/>
            <sz val="9"/>
            <color indexed="81"/>
            <rFont val="Tahoma"/>
            <family val="2"/>
          </rPr>
          <t>RELIEVE:</t>
        </r>
        <r>
          <rPr>
            <sz val="9"/>
            <color indexed="81"/>
            <rFont val="Tahoma"/>
            <family val="2"/>
          </rPr>
          <t xml:space="preserve">
Assist service users by abating symptoms of ill-health and distress and meet support needs</t>
        </r>
      </text>
    </comment>
    <comment ref="B9" authorId="0" shapeId="0" xr:uid="{E61B25B0-2976-43F4-9AD8-7E3A418E71F1}">
      <text>
        <r>
          <rPr>
            <b/>
            <sz val="9"/>
            <color indexed="81"/>
            <rFont val="Tahoma"/>
            <family val="2"/>
          </rPr>
          <t>PLAN:</t>
        </r>
        <r>
          <rPr>
            <sz val="9"/>
            <color indexed="81"/>
            <rFont val="Tahoma"/>
            <family val="2"/>
          </rPr>
          <t xml:space="preserve">
Define the package of skills required to meet service user needs.</t>
        </r>
      </text>
    </comment>
    <comment ref="K9" authorId="0" shapeId="0" xr:uid="{FFD22682-B3F2-4F86-8EDF-01F43846BB9F}">
      <text>
        <r>
          <rPr>
            <b/>
            <sz val="9"/>
            <color indexed="81"/>
            <rFont val="Tahoma"/>
            <family val="2"/>
          </rPr>
          <t xml:space="preserve">LINK:
</t>
        </r>
        <r>
          <rPr>
            <sz val="9"/>
            <color indexed="81"/>
            <rFont val="Tahoma"/>
            <family val="2"/>
          </rPr>
          <t>Connect different sectors, services, workforces and their skills around a holistic understanding of the needs of the service user.</t>
        </r>
      </text>
    </comment>
    <comment ref="B10" authorId="0" shapeId="0" xr:uid="{65ECAC80-CB05-4C5B-8274-0E1E990A9B03}">
      <text>
        <r>
          <rPr>
            <b/>
            <sz val="9"/>
            <color indexed="81"/>
            <rFont val="Tahoma"/>
            <family val="2"/>
          </rPr>
          <t>TREAT:</t>
        </r>
        <r>
          <rPr>
            <sz val="9"/>
            <color indexed="81"/>
            <rFont val="Tahoma"/>
            <family val="2"/>
          </rPr>
          <t xml:space="preserve">
Change the condition and restore the service user to good, or
improved health.</t>
        </r>
      </text>
    </comment>
    <comment ref="B11" authorId="0" shapeId="0" xr:uid="{F65AD082-EACF-4458-A597-2A3E6A02A71C}">
      <text>
        <r>
          <rPr>
            <b/>
            <sz val="9"/>
            <color indexed="81"/>
            <rFont val="Tahoma"/>
            <family val="2"/>
          </rPr>
          <t>REHABILITATE:</t>
        </r>
        <r>
          <rPr>
            <sz val="9"/>
            <color indexed="81"/>
            <rFont val="Tahoma"/>
            <family val="2"/>
          </rPr>
          <t xml:space="preserve">
Restore functionality, independence, participation and even purpose of
service user.</t>
        </r>
      </text>
    </comment>
    <comment ref="B12" authorId="0" shapeId="0" xr:uid="{B3043EB2-E49B-4095-BA7D-51ED3A3B5A9B}">
      <text>
        <r>
          <rPr>
            <b/>
            <sz val="9"/>
            <color indexed="81"/>
            <rFont val="Tahoma"/>
            <family val="2"/>
          </rPr>
          <t>RELIEVE:</t>
        </r>
        <r>
          <rPr>
            <sz val="9"/>
            <color indexed="81"/>
            <rFont val="Tahoma"/>
            <family val="2"/>
          </rPr>
          <t xml:space="preserve">
Assist service users by abating symptoms of ill-health and distress and
meet support needs.</t>
        </r>
      </text>
    </comment>
    <comment ref="B13" authorId="0" shapeId="0" xr:uid="{03D976B7-4389-4E93-A9FF-EB543E03EE5F}">
      <text>
        <r>
          <rPr>
            <b/>
            <sz val="9"/>
            <color indexed="81"/>
            <rFont val="Tahoma"/>
            <family val="2"/>
          </rPr>
          <t>LINK:</t>
        </r>
        <r>
          <rPr>
            <sz val="9"/>
            <color indexed="81"/>
            <rFont val="Tahoma"/>
            <family val="2"/>
          </rPr>
          <t xml:space="preserve">
Connect different sectors, services, workforces and their skills around a
holistic understanding of the needs of the service user.</t>
        </r>
      </text>
    </comment>
    <comment ref="C19" authorId="0" shapeId="0" xr:uid="{7A7ED146-DC88-4E9F-87A7-B470C9982987}">
      <text>
        <r>
          <rPr>
            <b/>
            <sz val="9"/>
            <color indexed="81"/>
            <rFont val="Tahoma"/>
            <family val="2"/>
          </rPr>
          <t>LEVEL 1:</t>
        </r>
        <r>
          <rPr>
            <sz val="9"/>
            <color indexed="81"/>
            <rFont val="Tahoma"/>
            <family val="2"/>
          </rPr>
          <t xml:space="preserve">
Requires no training at all and generally will not involve complex
technology.</t>
        </r>
      </text>
    </comment>
    <comment ref="D19" authorId="0" shapeId="0" xr:uid="{8CF6E555-37B1-48D2-94A1-F22C8BB5BA7A}">
      <text>
        <r>
          <rPr>
            <b/>
            <sz val="9"/>
            <color indexed="81"/>
            <rFont val="Tahoma"/>
            <family val="2"/>
          </rPr>
          <t>LEVEL 2:</t>
        </r>
        <r>
          <rPr>
            <sz val="9"/>
            <color indexed="81"/>
            <rFont val="Tahoma"/>
            <family val="2"/>
          </rPr>
          <t xml:space="preserve">
Requires some training, induction or education of up to a year, or
substantial experience of around five years in the role.</t>
        </r>
      </text>
    </comment>
    <comment ref="E19" authorId="0" shapeId="0" xr:uid="{55562590-3874-45C5-B6FA-4F21430AA73A}">
      <text>
        <r>
          <rPr>
            <b/>
            <sz val="9"/>
            <color indexed="81"/>
            <rFont val="Tahoma"/>
            <family val="2"/>
          </rPr>
          <t>LEVEL 3:</t>
        </r>
        <r>
          <rPr>
            <sz val="9"/>
            <color indexed="81"/>
            <rFont val="Tahoma"/>
            <family val="2"/>
          </rPr>
          <t xml:space="preserve">
Requires three to four years of formal education and are associated
with junior non-medical professions (e.g. occupational therapists).</t>
        </r>
      </text>
    </comment>
    <comment ref="F19" authorId="0" shapeId="0" xr:uid="{AE8E36F1-7243-4DD6-9962-727AF7ACC0A3}">
      <text>
        <r>
          <rPr>
            <b/>
            <sz val="9"/>
            <color indexed="81"/>
            <rFont val="Tahoma"/>
            <family val="2"/>
          </rPr>
          <t>LEVEL 4:</t>
        </r>
        <r>
          <rPr>
            <sz val="9"/>
            <color indexed="81"/>
            <rFont val="Tahoma"/>
            <family val="2"/>
          </rPr>
          <t xml:space="preserve">
Requires either four to six
years of formal education or
three to four years education
together with substantial
experience. These activities are associated with technical or scientific
professionals such as pharmacists or senior non-medical professions
(Agenda for Change bands 7-8).</t>
        </r>
      </text>
    </comment>
    <comment ref="G19" authorId="0" shapeId="0" xr:uid="{F09A4EAD-CDBD-4A6C-AAE2-F1CA9B541F82}">
      <text>
        <r>
          <rPr>
            <b/>
            <sz val="9"/>
            <color indexed="81"/>
            <rFont val="Tahoma"/>
            <family val="2"/>
          </rPr>
          <t>LEVEL 5:</t>
        </r>
        <r>
          <rPr>
            <sz val="9"/>
            <color indexed="81"/>
            <rFont val="Tahoma"/>
            <family val="2"/>
          </rPr>
          <t xml:space="preserve">
Requires over six years of formal
education and are generally associated
with junior medical and dental staff.</t>
        </r>
      </text>
    </comment>
    <comment ref="H19" authorId="0" shapeId="0" xr:uid="{652EB7D1-AA49-42BF-87EA-EAE9D5D34F01}">
      <text>
        <r>
          <rPr>
            <b/>
            <sz val="9"/>
            <color indexed="81"/>
            <rFont val="Tahoma"/>
            <family val="2"/>
          </rPr>
          <t>LEVEL 6:</t>
        </r>
        <r>
          <rPr>
            <sz val="9"/>
            <color indexed="81"/>
            <rFont val="Tahoma"/>
            <family val="2"/>
          </rPr>
          <t xml:space="preserve">
Requires over six years of formal education and significant experience
in post. These skills are associated with consultant and associate
specialist grade medical and dental staff.</t>
        </r>
      </text>
    </comment>
    <comment ref="B20" authorId="0" shapeId="0" xr:uid="{4FB387C3-685C-4F1E-892E-91374BBC2ED9}">
      <text>
        <r>
          <rPr>
            <b/>
            <sz val="9"/>
            <color indexed="81"/>
            <rFont val="Tahoma"/>
            <family val="2"/>
          </rPr>
          <t>PREVENT:</t>
        </r>
        <r>
          <rPr>
            <sz val="9"/>
            <color indexed="81"/>
            <rFont val="Tahoma"/>
            <family val="2"/>
          </rPr>
          <t xml:space="preserve">
Reduce the instance or incidence of ill health and demand for care.
</t>
        </r>
        <r>
          <rPr>
            <b/>
            <sz val="9"/>
            <color indexed="81"/>
            <rFont val="Tahoma"/>
            <family val="2"/>
          </rPr>
          <t>ENABLE:</t>
        </r>
        <r>
          <rPr>
            <sz val="9"/>
            <color indexed="81"/>
            <rFont val="Tahoma"/>
            <family val="2"/>
          </rPr>
          <t xml:space="preserve">
Increase the control and capacity service users have to improve their situation.
</t>
        </r>
        <r>
          <rPr>
            <b/>
            <sz val="9"/>
            <color indexed="81"/>
            <rFont val="Tahoma"/>
            <family val="2"/>
          </rPr>
          <t>REHABILITATE:</t>
        </r>
        <r>
          <rPr>
            <sz val="9"/>
            <color indexed="81"/>
            <rFont val="Tahoma"/>
            <family val="2"/>
          </rPr>
          <t xml:space="preserve">
Restore functionality, independence, articipation and even purpose of service user.</t>
        </r>
      </text>
    </comment>
    <comment ref="B21" authorId="0" shapeId="0" xr:uid="{E5EF7BEF-933F-4179-9393-2FFC0174E228}">
      <text>
        <r>
          <rPr>
            <b/>
            <sz val="9"/>
            <color indexed="81"/>
            <rFont val="Tahoma"/>
            <family val="2"/>
          </rPr>
          <t xml:space="preserve">ASSESS:
</t>
        </r>
        <r>
          <rPr>
            <sz val="9"/>
            <color indexed="81"/>
            <rFont val="Tahoma"/>
            <family val="2"/>
          </rPr>
          <t xml:space="preserve">Identify and understand a presenting problem, including evaluations.
</t>
        </r>
        <r>
          <rPr>
            <b/>
            <sz val="9"/>
            <color indexed="81"/>
            <rFont val="Tahoma"/>
            <family val="2"/>
          </rPr>
          <t>PLAN:</t>
        </r>
        <r>
          <rPr>
            <sz val="9"/>
            <color indexed="81"/>
            <rFont val="Tahoma"/>
            <family val="2"/>
          </rPr>
          <t xml:space="preserve">
Define the package of skills required to meet service user needs.</t>
        </r>
      </text>
    </comment>
    <comment ref="B22" authorId="0" shapeId="0" xr:uid="{DF2BE910-3E08-429E-B414-58EC18D55626}">
      <text>
        <r>
          <rPr>
            <b/>
            <sz val="9"/>
            <color indexed="81"/>
            <rFont val="Tahoma"/>
            <family val="2"/>
          </rPr>
          <t xml:space="preserve">TREAT:
</t>
        </r>
        <r>
          <rPr>
            <sz val="9"/>
            <color indexed="81"/>
            <rFont val="Tahoma"/>
            <family val="2"/>
          </rPr>
          <t xml:space="preserve">Change the condition and restore the service user to good, or improved health.
</t>
        </r>
        <r>
          <rPr>
            <b/>
            <sz val="9"/>
            <color indexed="81"/>
            <rFont val="Tahoma"/>
            <family val="2"/>
          </rPr>
          <t>RELIEVE:</t>
        </r>
        <r>
          <rPr>
            <sz val="9"/>
            <color indexed="81"/>
            <rFont val="Tahoma"/>
            <family val="2"/>
          </rPr>
          <t xml:space="preserve">
Assist service users by abating symptoms of ill-health and distress and meet support needs</t>
        </r>
      </text>
    </comment>
    <comment ref="B23" authorId="0" shapeId="0" xr:uid="{358F17AB-EC50-41D8-9C8B-C0936EBA9095}">
      <text>
        <r>
          <rPr>
            <b/>
            <sz val="9"/>
            <color indexed="81"/>
            <rFont val="Tahoma"/>
            <family val="2"/>
          </rPr>
          <t xml:space="preserve">LINK:
</t>
        </r>
        <r>
          <rPr>
            <sz val="9"/>
            <color indexed="81"/>
            <rFont val="Tahoma"/>
            <family val="2"/>
          </rPr>
          <t>Connect different sectors, services, workforces and their skills around a holistic understanding of the needs of the service user.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Richard Blackwell</author>
  </authors>
  <commentList>
    <comment ref="C5" authorId="0" shapeId="0" xr:uid="{AD7FC00F-C885-4D74-879E-D14AC8F9BEED}">
      <text>
        <r>
          <rPr>
            <b/>
            <sz val="9"/>
            <color indexed="81"/>
            <rFont val="Tahoma"/>
            <family val="2"/>
          </rPr>
          <t>GROUP A:</t>
        </r>
        <r>
          <rPr>
            <sz val="9"/>
            <color indexed="81"/>
            <rFont val="Tahoma"/>
            <family val="2"/>
          </rPr>
          <t xml:space="preserve">
Requires no training at all and generally will not involve complex technology.</t>
        </r>
      </text>
    </comment>
    <comment ref="D5" authorId="0" shapeId="0" xr:uid="{4B191E53-68F5-47C8-8165-CB8067136D65}">
      <text>
        <r>
          <rPr>
            <b/>
            <sz val="9"/>
            <color indexed="81"/>
            <rFont val="Tahoma"/>
            <family val="2"/>
          </rPr>
          <t>GROUP B:</t>
        </r>
        <r>
          <rPr>
            <sz val="9"/>
            <color indexed="81"/>
            <rFont val="Tahoma"/>
            <family val="2"/>
          </rPr>
          <t xml:space="preserve">
Requires some training, induction or education of up to a year, or substantial experience of around five years in the role.</t>
        </r>
      </text>
    </comment>
    <comment ref="E5" authorId="0" shapeId="0" xr:uid="{604BEA76-BADA-46CF-8603-08CB2D6DDACE}">
      <text>
        <r>
          <rPr>
            <b/>
            <sz val="9"/>
            <color indexed="81"/>
            <rFont val="Tahoma"/>
            <family val="2"/>
          </rPr>
          <t>GROUP C:</t>
        </r>
        <r>
          <rPr>
            <sz val="9"/>
            <color indexed="81"/>
            <rFont val="Tahoma"/>
            <family val="2"/>
          </rPr>
          <t xml:space="preserve">
Requires three to four years of formal education and are associated
with junior non-medical professions (e.g. occupational therapists).</t>
        </r>
      </text>
    </comment>
    <comment ref="F5" authorId="0" shapeId="0" xr:uid="{6399079C-4104-48A0-88DF-4872A565DEAF}">
      <text>
        <r>
          <rPr>
            <b/>
            <sz val="9"/>
            <color indexed="81"/>
            <rFont val="Tahoma"/>
            <family val="2"/>
          </rPr>
          <t>GROUP D:</t>
        </r>
        <r>
          <rPr>
            <sz val="9"/>
            <color indexed="81"/>
            <rFont val="Tahoma"/>
            <family val="2"/>
          </rPr>
          <t xml:space="preserve">
Requires either four to six years of formal education or three to four years education together with substantial experience. These activities are associated with technical or scientific professionals such as pharmacists or senior non-medical professions (Agenda for Change bands 7-8).</t>
        </r>
      </text>
    </comment>
    <comment ref="G5" authorId="0" shapeId="0" xr:uid="{5BDB3637-F429-4F99-92F7-7B2E84C12EB0}">
      <text>
        <r>
          <rPr>
            <b/>
            <sz val="9"/>
            <color indexed="81"/>
            <rFont val="Tahoma"/>
            <family val="2"/>
          </rPr>
          <t xml:space="preserve">GROUP E:
</t>
        </r>
        <r>
          <rPr>
            <sz val="9"/>
            <color indexed="81"/>
            <rFont val="Tahoma"/>
            <family val="2"/>
          </rPr>
          <t>Requires over six years of formal education and are generally associated with junior medical and dental staff.</t>
        </r>
      </text>
    </comment>
    <comment ref="H5" authorId="0" shapeId="0" xr:uid="{129D70B3-38E4-4202-A83E-C4D31221C4A8}">
      <text>
        <r>
          <rPr>
            <b/>
            <sz val="9"/>
            <color indexed="81"/>
            <rFont val="Tahoma"/>
            <family val="2"/>
          </rPr>
          <t>GROUP F:</t>
        </r>
        <r>
          <rPr>
            <sz val="9"/>
            <color indexed="81"/>
            <rFont val="Tahoma"/>
            <family val="2"/>
          </rPr>
          <t xml:space="preserve">
Requires over six years of formal education and significant experience in post. These skills are associated with consultant and associate specialist grade medical and dental staff.</t>
        </r>
      </text>
    </comment>
    <comment ref="L5" authorId="0" shapeId="0" xr:uid="{71B05F18-8561-4E6B-8CC5-2AF71C9C3071}">
      <text>
        <r>
          <rPr>
            <b/>
            <sz val="9"/>
            <color indexed="81"/>
            <rFont val="Tahoma"/>
            <family val="2"/>
          </rPr>
          <t>GROUP A:</t>
        </r>
        <r>
          <rPr>
            <sz val="9"/>
            <color indexed="81"/>
            <rFont val="Tahoma"/>
            <family val="2"/>
          </rPr>
          <t xml:space="preserve">
Requires no training at all and generally will not involve complex technology.</t>
        </r>
      </text>
    </comment>
    <comment ref="M5" authorId="0" shapeId="0" xr:uid="{6E077238-EDD5-429D-A962-4D924ED0C7DE}">
      <text>
        <r>
          <rPr>
            <b/>
            <sz val="9"/>
            <color indexed="81"/>
            <rFont val="Tahoma"/>
            <family val="2"/>
          </rPr>
          <t>GROUP B:</t>
        </r>
        <r>
          <rPr>
            <sz val="9"/>
            <color indexed="81"/>
            <rFont val="Tahoma"/>
            <family val="2"/>
          </rPr>
          <t xml:space="preserve">
Requires some training, induction or education of up to a year, or substantial experience of around five years in the role.</t>
        </r>
      </text>
    </comment>
    <comment ref="N5" authorId="0" shapeId="0" xr:uid="{723D39E6-8FF2-4606-81E0-0B89BDAC8808}">
      <text>
        <r>
          <rPr>
            <b/>
            <sz val="9"/>
            <color indexed="81"/>
            <rFont val="Tahoma"/>
            <family val="2"/>
          </rPr>
          <t>GROUP C:</t>
        </r>
        <r>
          <rPr>
            <sz val="9"/>
            <color indexed="81"/>
            <rFont val="Tahoma"/>
            <family val="2"/>
          </rPr>
          <t xml:space="preserve">
Requires three to four years of formal education and are associated
with junior non-medical professions (e.g. occupational therapists).</t>
        </r>
      </text>
    </comment>
    <comment ref="O5" authorId="0" shapeId="0" xr:uid="{8BB8F0F2-B7A0-4B1A-888C-D5AD33E50B78}">
      <text>
        <r>
          <rPr>
            <b/>
            <sz val="9"/>
            <color indexed="81"/>
            <rFont val="Tahoma"/>
            <family val="2"/>
          </rPr>
          <t>GROUP D:</t>
        </r>
        <r>
          <rPr>
            <sz val="9"/>
            <color indexed="81"/>
            <rFont val="Tahoma"/>
            <family val="2"/>
          </rPr>
          <t xml:space="preserve">
Requires either four to six years of formal education or three to four years education together with substantial experience. These activities are associated with technical or scientific professionals such as pharmacists or senior non-medical professions (Agenda for Change bands 7-8).</t>
        </r>
      </text>
    </comment>
    <comment ref="P5" authorId="0" shapeId="0" xr:uid="{10942459-D12E-4AE7-8999-031066F1E2CF}">
      <text>
        <r>
          <rPr>
            <b/>
            <sz val="9"/>
            <color indexed="81"/>
            <rFont val="Tahoma"/>
            <family val="2"/>
          </rPr>
          <t xml:space="preserve">GROUP E:
</t>
        </r>
        <r>
          <rPr>
            <sz val="9"/>
            <color indexed="81"/>
            <rFont val="Tahoma"/>
            <family val="2"/>
          </rPr>
          <t>Requires over six years of formal education and are generally associated with junior medical and dental staff.</t>
        </r>
      </text>
    </comment>
    <comment ref="Q5" authorId="0" shapeId="0" xr:uid="{D23FF842-485D-4886-81DF-9F25554426FE}">
      <text>
        <r>
          <rPr>
            <b/>
            <sz val="9"/>
            <color indexed="81"/>
            <rFont val="Tahoma"/>
            <family val="2"/>
          </rPr>
          <t>GROUP F:</t>
        </r>
        <r>
          <rPr>
            <sz val="9"/>
            <color indexed="81"/>
            <rFont val="Tahoma"/>
            <family val="2"/>
          </rPr>
          <t xml:space="preserve">
Requires over six years of formal education and significant experience in post. These skills are associated with consultant and associate specialist grade medical and dental staff.</t>
        </r>
      </text>
    </comment>
    <comment ref="U5" authorId="0" shapeId="0" xr:uid="{CEF43E12-C885-41FC-8E75-F0BD760E825B}">
      <text>
        <r>
          <rPr>
            <b/>
            <sz val="9"/>
            <color indexed="81"/>
            <rFont val="Tahoma"/>
            <family val="2"/>
          </rPr>
          <t>GROUP A:</t>
        </r>
        <r>
          <rPr>
            <sz val="9"/>
            <color indexed="81"/>
            <rFont val="Tahoma"/>
            <family val="2"/>
          </rPr>
          <t xml:space="preserve">
Requires no training at all and generally will not involve complex technology.</t>
        </r>
      </text>
    </comment>
    <comment ref="V5" authorId="0" shapeId="0" xr:uid="{02013C0F-1321-4107-98FE-045ABF898C38}">
      <text>
        <r>
          <rPr>
            <b/>
            <sz val="9"/>
            <color indexed="81"/>
            <rFont val="Tahoma"/>
            <family val="2"/>
          </rPr>
          <t>GROUP B:</t>
        </r>
        <r>
          <rPr>
            <sz val="9"/>
            <color indexed="81"/>
            <rFont val="Tahoma"/>
            <family val="2"/>
          </rPr>
          <t xml:space="preserve">
Requires some training, induction or education of up to a year, or substantial experience of around five years in the role.</t>
        </r>
      </text>
    </comment>
    <comment ref="W5" authorId="0" shapeId="0" xr:uid="{E3FDF6EA-5598-49F2-84E9-1E4F2FFC806D}">
      <text>
        <r>
          <rPr>
            <b/>
            <sz val="9"/>
            <color indexed="81"/>
            <rFont val="Tahoma"/>
            <family val="2"/>
          </rPr>
          <t>GROUP C:</t>
        </r>
        <r>
          <rPr>
            <sz val="9"/>
            <color indexed="81"/>
            <rFont val="Tahoma"/>
            <family val="2"/>
          </rPr>
          <t xml:space="preserve">
Requires three to four years of formal education and are associated
with junior non-medical professions (e.g. occupational therapists).</t>
        </r>
      </text>
    </comment>
    <comment ref="X5" authorId="0" shapeId="0" xr:uid="{74041B95-6358-4F13-B917-EE4AF1398F6B}">
      <text>
        <r>
          <rPr>
            <b/>
            <sz val="9"/>
            <color indexed="81"/>
            <rFont val="Tahoma"/>
            <family val="2"/>
          </rPr>
          <t>GROUP D:</t>
        </r>
        <r>
          <rPr>
            <sz val="9"/>
            <color indexed="81"/>
            <rFont val="Tahoma"/>
            <family val="2"/>
          </rPr>
          <t xml:space="preserve">
Requires either four to six years of formal education or three to four years education together with substantial experience. These activities are associated with technical or scientific professionals such as pharmacists or senior non-medical professions (Agenda for Change bands 7-8).</t>
        </r>
      </text>
    </comment>
    <comment ref="Y5" authorId="0" shapeId="0" xr:uid="{7AA07966-9B0B-46CA-A7E3-3407B9689AEB}">
      <text>
        <r>
          <rPr>
            <b/>
            <sz val="9"/>
            <color indexed="81"/>
            <rFont val="Tahoma"/>
            <family val="2"/>
          </rPr>
          <t xml:space="preserve">GROUP E:
</t>
        </r>
        <r>
          <rPr>
            <sz val="9"/>
            <color indexed="81"/>
            <rFont val="Tahoma"/>
            <family val="2"/>
          </rPr>
          <t>Requires over six years of formal education and are generally associated with junior medical and dental staff.</t>
        </r>
      </text>
    </comment>
    <comment ref="Z5" authorId="0" shapeId="0" xr:uid="{E50EC39D-E5D2-4F91-9C93-45CA12F6725A}">
      <text>
        <r>
          <rPr>
            <b/>
            <sz val="9"/>
            <color indexed="81"/>
            <rFont val="Tahoma"/>
            <family val="2"/>
          </rPr>
          <t>GROUP F:</t>
        </r>
        <r>
          <rPr>
            <sz val="9"/>
            <color indexed="81"/>
            <rFont val="Tahoma"/>
            <family val="2"/>
          </rPr>
          <t xml:space="preserve">
Requires over six years of formal education and significant experience in post. These skills are associated with consultant and associate specialist grade medical and dental staff.</t>
        </r>
      </text>
    </comment>
    <comment ref="B6" authorId="0" shapeId="0" xr:uid="{E56813A8-3105-4935-A182-D6013141C5A0}">
      <text>
        <r>
          <rPr>
            <b/>
            <sz val="9"/>
            <color indexed="81"/>
            <rFont val="Tahoma"/>
            <family val="2"/>
          </rPr>
          <t>PREVENT:</t>
        </r>
        <r>
          <rPr>
            <sz val="9"/>
            <color indexed="81"/>
            <rFont val="Tahoma"/>
            <family val="2"/>
          </rPr>
          <t xml:space="preserve">
Reduce the instance or incidence of ill health and demand for care.
</t>
        </r>
        <r>
          <rPr>
            <b/>
            <sz val="9"/>
            <color indexed="81"/>
            <rFont val="Tahoma"/>
            <family val="2"/>
          </rPr>
          <t>ENABLE:</t>
        </r>
        <r>
          <rPr>
            <sz val="9"/>
            <color indexed="81"/>
            <rFont val="Tahoma"/>
            <family val="2"/>
          </rPr>
          <t xml:space="preserve">
Increase the control and capacity service users have to improve their situation.
</t>
        </r>
        <r>
          <rPr>
            <b/>
            <sz val="9"/>
            <color indexed="81"/>
            <rFont val="Tahoma"/>
            <family val="2"/>
          </rPr>
          <t>REHABILITATE:</t>
        </r>
        <r>
          <rPr>
            <sz val="9"/>
            <color indexed="81"/>
            <rFont val="Tahoma"/>
            <family val="2"/>
          </rPr>
          <t xml:space="preserve">
Restore functionality, independence, articipation and even purpose of service user.</t>
        </r>
      </text>
    </comment>
    <comment ref="K6" authorId="0" shapeId="0" xr:uid="{C51A82D5-A4D3-4E2F-B8E1-CB680016871D}">
      <text>
        <r>
          <rPr>
            <b/>
            <sz val="9"/>
            <color indexed="81"/>
            <rFont val="Tahoma"/>
            <family val="2"/>
          </rPr>
          <t>PREVENT:</t>
        </r>
        <r>
          <rPr>
            <sz val="9"/>
            <color indexed="81"/>
            <rFont val="Tahoma"/>
            <family val="2"/>
          </rPr>
          <t xml:space="preserve">
Reduce the instance or incidence of ill health and demand for care.
</t>
        </r>
        <r>
          <rPr>
            <b/>
            <sz val="9"/>
            <color indexed="81"/>
            <rFont val="Tahoma"/>
            <family val="2"/>
          </rPr>
          <t>ENABLE:</t>
        </r>
        <r>
          <rPr>
            <sz val="9"/>
            <color indexed="81"/>
            <rFont val="Tahoma"/>
            <family val="2"/>
          </rPr>
          <t xml:space="preserve">
Increase the control and capacity service users have to improve their situation.
</t>
        </r>
        <r>
          <rPr>
            <b/>
            <sz val="9"/>
            <color indexed="81"/>
            <rFont val="Tahoma"/>
            <family val="2"/>
          </rPr>
          <t>REHABILITATE:</t>
        </r>
        <r>
          <rPr>
            <sz val="9"/>
            <color indexed="81"/>
            <rFont val="Tahoma"/>
            <family val="2"/>
          </rPr>
          <t xml:space="preserve">
Restore functionality, independence, articipation and even purpose of service user.</t>
        </r>
      </text>
    </comment>
    <comment ref="T6" authorId="0" shapeId="0" xr:uid="{62314BCA-43AC-43B2-8EBA-3ACF5ADB2AB8}">
      <text>
        <r>
          <rPr>
            <b/>
            <sz val="9"/>
            <color indexed="81"/>
            <rFont val="Tahoma"/>
            <family val="2"/>
          </rPr>
          <t>PREVENT:</t>
        </r>
        <r>
          <rPr>
            <sz val="9"/>
            <color indexed="81"/>
            <rFont val="Tahoma"/>
            <family val="2"/>
          </rPr>
          <t xml:space="preserve">
Reduce the instance or incidence of ill health and demand for care.
</t>
        </r>
        <r>
          <rPr>
            <b/>
            <sz val="9"/>
            <color indexed="81"/>
            <rFont val="Tahoma"/>
            <family val="2"/>
          </rPr>
          <t>ENABLE:</t>
        </r>
        <r>
          <rPr>
            <sz val="9"/>
            <color indexed="81"/>
            <rFont val="Tahoma"/>
            <family val="2"/>
          </rPr>
          <t xml:space="preserve">
Increase the control and capacity service users have to improve their situation.
</t>
        </r>
        <r>
          <rPr>
            <b/>
            <sz val="9"/>
            <color indexed="81"/>
            <rFont val="Tahoma"/>
            <family val="2"/>
          </rPr>
          <t>REHABILITATE:</t>
        </r>
        <r>
          <rPr>
            <sz val="9"/>
            <color indexed="81"/>
            <rFont val="Tahoma"/>
            <family val="2"/>
          </rPr>
          <t xml:space="preserve">
Restore functionality, independence, articipation and even purpose of service user.</t>
        </r>
      </text>
    </comment>
    <comment ref="B7" authorId="0" shapeId="0" xr:uid="{EBC9521E-166D-4090-A499-DFFB530984FF}">
      <text>
        <r>
          <rPr>
            <b/>
            <sz val="9"/>
            <color indexed="81"/>
            <rFont val="Tahoma"/>
            <family val="2"/>
          </rPr>
          <t xml:space="preserve">ASSESS:
</t>
        </r>
        <r>
          <rPr>
            <sz val="9"/>
            <color indexed="81"/>
            <rFont val="Tahoma"/>
            <family val="2"/>
          </rPr>
          <t xml:space="preserve">Identify and understand a presenting problem, including evaluations.
</t>
        </r>
        <r>
          <rPr>
            <b/>
            <sz val="9"/>
            <color indexed="81"/>
            <rFont val="Tahoma"/>
            <family val="2"/>
          </rPr>
          <t>PLAN:</t>
        </r>
        <r>
          <rPr>
            <sz val="9"/>
            <color indexed="81"/>
            <rFont val="Tahoma"/>
            <family val="2"/>
          </rPr>
          <t xml:space="preserve">
Define the package of skills required to meet service user needs.</t>
        </r>
      </text>
    </comment>
    <comment ref="K7" authorId="0" shapeId="0" xr:uid="{94308DA1-C26F-4578-B23F-FF7902920CCC}">
      <text>
        <r>
          <rPr>
            <b/>
            <sz val="9"/>
            <color indexed="81"/>
            <rFont val="Tahoma"/>
            <family val="2"/>
          </rPr>
          <t xml:space="preserve">ASSESS:
</t>
        </r>
        <r>
          <rPr>
            <sz val="9"/>
            <color indexed="81"/>
            <rFont val="Tahoma"/>
            <family val="2"/>
          </rPr>
          <t xml:space="preserve">Identify and understand a presenting problem, including evaluations.
</t>
        </r>
        <r>
          <rPr>
            <b/>
            <sz val="9"/>
            <color indexed="81"/>
            <rFont val="Tahoma"/>
            <family val="2"/>
          </rPr>
          <t>PLAN:</t>
        </r>
        <r>
          <rPr>
            <sz val="9"/>
            <color indexed="81"/>
            <rFont val="Tahoma"/>
            <family val="2"/>
          </rPr>
          <t xml:space="preserve">
Define the package of skills required to meet service user needs.</t>
        </r>
      </text>
    </comment>
    <comment ref="T7" authorId="0" shapeId="0" xr:uid="{F3418905-7ED1-4D2C-81D5-6C8B6D5AE764}">
      <text>
        <r>
          <rPr>
            <b/>
            <sz val="9"/>
            <color indexed="81"/>
            <rFont val="Tahoma"/>
            <family val="2"/>
          </rPr>
          <t xml:space="preserve">ASSESS:
</t>
        </r>
        <r>
          <rPr>
            <sz val="9"/>
            <color indexed="81"/>
            <rFont val="Tahoma"/>
            <family val="2"/>
          </rPr>
          <t xml:space="preserve">Identify and understand a presenting problem, including evaluations.
</t>
        </r>
        <r>
          <rPr>
            <b/>
            <sz val="9"/>
            <color indexed="81"/>
            <rFont val="Tahoma"/>
            <family val="2"/>
          </rPr>
          <t>PLAN:</t>
        </r>
        <r>
          <rPr>
            <sz val="9"/>
            <color indexed="81"/>
            <rFont val="Tahoma"/>
            <family val="2"/>
          </rPr>
          <t xml:space="preserve">
Define the package of skills required to meet service user needs.</t>
        </r>
      </text>
    </comment>
    <comment ref="B8" authorId="0" shapeId="0" xr:uid="{B3AFF9CA-0C99-4627-87B9-D9B665068400}">
      <text>
        <r>
          <rPr>
            <b/>
            <sz val="9"/>
            <color indexed="81"/>
            <rFont val="Tahoma"/>
            <family val="2"/>
          </rPr>
          <t xml:space="preserve">TREAT:
</t>
        </r>
        <r>
          <rPr>
            <sz val="9"/>
            <color indexed="81"/>
            <rFont val="Tahoma"/>
            <family val="2"/>
          </rPr>
          <t xml:space="preserve">Change the condition and restore the service user to good, or improved health.
</t>
        </r>
        <r>
          <rPr>
            <b/>
            <sz val="9"/>
            <color indexed="81"/>
            <rFont val="Tahoma"/>
            <family val="2"/>
          </rPr>
          <t>RELIEVE:</t>
        </r>
        <r>
          <rPr>
            <sz val="9"/>
            <color indexed="81"/>
            <rFont val="Tahoma"/>
            <family val="2"/>
          </rPr>
          <t xml:space="preserve">
Assist service users by abating symptoms of ill-health and distress and meet support needs</t>
        </r>
      </text>
    </comment>
    <comment ref="K8" authorId="0" shapeId="0" xr:uid="{27C66915-D135-4421-88B3-A64BD2FA9697}">
      <text>
        <r>
          <rPr>
            <b/>
            <sz val="9"/>
            <color indexed="81"/>
            <rFont val="Tahoma"/>
            <family val="2"/>
          </rPr>
          <t xml:space="preserve">TREAT:
</t>
        </r>
        <r>
          <rPr>
            <sz val="9"/>
            <color indexed="81"/>
            <rFont val="Tahoma"/>
            <family val="2"/>
          </rPr>
          <t xml:space="preserve">Change the condition and restore the service user to good, or improved health.
</t>
        </r>
        <r>
          <rPr>
            <b/>
            <sz val="9"/>
            <color indexed="81"/>
            <rFont val="Tahoma"/>
            <family val="2"/>
          </rPr>
          <t>RELIEVE:</t>
        </r>
        <r>
          <rPr>
            <sz val="9"/>
            <color indexed="81"/>
            <rFont val="Tahoma"/>
            <family val="2"/>
          </rPr>
          <t xml:space="preserve">
Assist service users by abating symptoms of ill-health and distress and meet support needs</t>
        </r>
      </text>
    </comment>
    <comment ref="T8" authorId="0" shapeId="0" xr:uid="{12E417CC-2079-4CE4-BF49-D38BA328E92B}">
      <text>
        <r>
          <rPr>
            <b/>
            <sz val="9"/>
            <color indexed="81"/>
            <rFont val="Tahoma"/>
            <family val="2"/>
          </rPr>
          <t xml:space="preserve">TREAT:
</t>
        </r>
        <r>
          <rPr>
            <sz val="9"/>
            <color indexed="81"/>
            <rFont val="Tahoma"/>
            <family val="2"/>
          </rPr>
          <t xml:space="preserve">Change the condition and restore the service user to good, or improved health.
</t>
        </r>
        <r>
          <rPr>
            <b/>
            <sz val="9"/>
            <color indexed="81"/>
            <rFont val="Tahoma"/>
            <family val="2"/>
          </rPr>
          <t>RELIEVE:</t>
        </r>
        <r>
          <rPr>
            <sz val="9"/>
            <color indexed="81"/>
            <rFont val="Tahoma"/>
            <family val="2"/>
          </rPr>
          <t xml:space="preserve">
Assist service users by abating symptoms of ill-health and distress and meet support needs</t>
        </r>
      </text>
    </comment>
    <comment ref="B9" authorId="0" shapeId="0" xr:uid="{43EA9EF2-F6B0-4B69-9528-626960371209}">
      <text>
        <r>
          <rPr>
            <b/>
            <sz val="9"/>
            <color indexed="81"/>
            <rFont val="Tahoma"/>
            <family val="2"/>
          </rPr>
          <t xml:space="preserve">LINK:
</t>
        </r>
        <r>
          <rPr>
            <sz val="9"/>
            <color indexed="81"/>
            <rFont val="Tahoma"/>
            <family val="2"/>
          </rPr>
          <t>Connect different sectors, services, workforces and their skills around a holistic understanding of the needs of the service user.</t>
        </r>
      </text>
    </comment>
    <comment ref="K9" authorId="0" shapeId="0" xr:uid="{8FDCF282-C3B1-4CF8-AF85-83C5745A3E97}">
      <text>
        <r>
          <rPr>
            <b/>
            <sz val="9"/>
            <color indexed="81"/>
            <rFont val="Tahoma"/>
            <family val="2"/>
          </rPr>
          <t xml:space="preserve">LINK:
</t>
        </r>
        <r>
          <rPr>
            <sz val="9"/>
            <color indexed="81"/>
            <rFont val="Tahoma"/>
            <family val="2"/>
          </rPr>
          <t>Connect different sectors, services, workforces and their skills around a holistic understanding of the needs of the service user.</t>
        </r>
      </text>
    </comment>
    <comment ref="T9" authorId="0" shapeId="0" xr:uid="{1130201B-FEEC-4A63-B8C2-49735D79EEF8}">
      <text>
        <r>
          <rPr>
            <b/>
            <sz val="9"/>
            <color indexed="81"/>
            <rFont val="Tahoma"/>
            <family val="2"/>
          </rPr>
          <t xml:space="preserve">LINK:
</t>
        </r>
        <r>
          <rPr>
            <sz val="9"/>
            <color indexed="81"/>
            <rFont val="Tahoma"/>
            <family val="2"/>
          </rPr>
          <t>Connect different sectors, services, workforces and their skills around a holistic understanding of the needs of the service user.</t>
        </r>
      </text>
    </comment>
    <comment ref="C15" authorId="0" shapeId="0" xr:uid="{5BFE98A8-5AC4-485E-AB18-13FE35B0CC28}">
      <text>
        <r>
          <rPr>
            <b/>
            <sz val="9"/>
            <color indexed="81"/>
            <rFont val="Tahoma"/>
            <family val="2"/>
          </rPr>
          <t>GROUP A:</t>
        </r>
        <r>
          <rPr>
            <sz val="9"/>
            <color indexed="81"/>
            <rFont val="Tahoma"/>
            <family val="2"/>
          </rPr>
          <t xml:space="preserve">
Requires no training at all and generally will not involve complex technology.</t>
        </r>
      </text>
    </comment>
    <comment ref="D15" authorId="0" shapeId="0" xr:uid="{7A2F205C-42A0-4A7A-9FCE-D1A7BC9CCE4D}">
      <text>
        <r>
          <rPr>
            <b/>
            <sz val="9"/>
            <color indexed="81"/>
            <rFont val="Tahoma"/>
            <family val="2"/>
          </rPr>
          <t>GROUP B:</t>
        </r>
        <r>
          <rPr>
            <sz val="9"/>
            <color indexed="81"/>
            <rFont val="Tahoma"/>
            <family val="2"/>
          </rPr>
          <t xml:space="preserve">
Requires some training, induction or education of up to a year, or substantial experience of around five years in the role.</t>
        </r>
      </text>
    </comment>
    <comment ref="E15" authorId="0" shapeId="0" xr:uid="{110F52BE-AC08-4F38-A0E4-D084AB6A44EF}">
      <text>
        <r>
          <rPr>
            <b/>
            <sz val="9"/>
            <color indexed="81"/>
            <rFont val="Tahoma"/>
            <family val="2"/>
          </rPr>
          <t>GROUP C:</t>
        </r>
        <r>
          <rPr>
            <sz val="9"/>
            <color indexed="81"/>
            <rFont val="Tahoma"/>
            <family val="2"/>
          </rPr>
          <t xml:space="preserve">
Requires three to four years of formal education and are associated
with junior non-medical professions (e.g. occupational therapists).</t>
        </r>
      </text>
    </comment>
    <comment ref="F15" authorId="0" shapeId="0" xr:uid="{B79D0542-C921-4354-A5AB-7DC3A1F47F8A}">
      <text>
        <r>
          <rPr>
            <b/>
            <sz val="9"/>
            <color indexed="81"/>
            <rFont val="Tahoma"/>
            <family val="2"/>
          </rPr>
          <t>GROUP D:</t>
        </r>
        <r>
          <rPr>
            <sz val="9"/>
            <color indexed="81"/>
            <rFont val="Tahoma"/>
            <family val="2"/>
          </rPr>
          <t xml:space="preserve">
Requires either four to six years of formal education or three to four years education together with substantial experience. These activities are associated with technical or scientific professionals such as pharmacists or senior non-medical professions (Agenda for Change bands 7-8).</t>
        </r>
      </text>
    </comment>
    <comment ref="G15" authorId="0" shapeId="0" xr:uid="{39297ADB-EC6E-4B26-8F40-466FC6A99402}">
      <text>
        <r>
          <rPr>
            <b/>
            <sz val="9"/>
            <color indexed="81"/>
            <rFont val="Tahoma"/>
            <family val="2"/>
          </rPr>
          <t xml:space="preserve">GROUP E:
</t>
        </r>
        <r>
          <rPr>
            <sz val="9"/>
            <color indexed="81"/>
            <rFont val="Tahoma"/>
            <family val="2"/>
          </rPr>
          <t>Requires over six years of formal education and are generally associated with junior medical and dental staff.</t>
        </r>
      </text>
    </comment>
    <comment ref="H15" authorId="0" shapeId="0" xr:uid="{2F9B9252-CEE0-48B1-B98A-8B23C3AB3A22}">
      <text>
        <r>
          <rPr>
            <b/>
            <sz val="9"/>
            <color indexed="81"/>
            <rFont val="Tahoma"/>
            <family val="2"/>
          </rPr>
          <t>GROUP F:</t>
        </r>
        <r>
          <rPr>
            <sz val="9"/>
            <color indexed="81"/>
            <rFont val="Tahoma"/>
            <family val="2"/>
          </rPr>
          <t xml:space="preserve">
Requires over six years of formal education and significant experience in post. These skills are associated with consultant and associate specialist grade medical and dental staff.</t>
        </r>
      </text>
    </comment>
    <comment ref="L15" authorId="0" shapeId="0" xr:uid="{CB9587A8-7D61-4531-BD2E-3805BB422802}">
      <text>
        <r>
          <rPr>
            <b/>
            <sz val="9"/>
            <color indexed="81"/>
            <rFont val="Tahoma"/>
            <family val="2"/>
          </rPr>
          <t>GROUP A:</t>
        </r>
        <r>
          <rPr>
            <sz val="9"/>
            <color indexed="81"/>
            <rFont val="Tahoma"/>
            <family val="2"/>
          </rPr>
          <t xml:space="preserve">
Requires no training at all and generally will not involve complex technology.</t>
        </r>
      </text>
    </comment>
    <comment ref="M15" authorId="0" shapeId="0" xr:uid="{99B02C49-A37B-4C89-A592-4D61234ACE24}">
      <text>
        <r>
          <rPr>
            <b/>
            <sz val="9"/>
            <color indexed="81"/>
            <rFont val="Tahoma"/>
            <family val="2"/>
          </rPr>
          <t>GROUP B:</t>
        </r>
        <r>
          <rPr>
            <sz val="9"/>
            <color indexed="81"/>
            <rFont val="Tahoma"/>
            <family val="2"/>
          </rPr>
          <t xml:space="preserve">
Requires some training, induction or education of up to a year, or substantial experience of around five years in the role.</t>
        </r>
      </text>
    </comment>
    <comment ref="N15" authorId="0" shapeId="0" xr:uid="{B5D42257-BCAF-4363-85A8-B60CDCD71220}">
      <text>
        <r>
          <rPr>
            <b/>
            <sz val="9"/>
            <color indexed="81"/>
            <rFont val="Tahoma"/>
            <family val="2"/>
          </rPr>
          <t>GROUP C:</t>
        </r>
        <r>
          <rPr>
            <sz val="9"/>
            <color indexed="81"/>
            <rFont val="Tahoma"/>
            <family val="2"/>
          </rPr>
          <t xml:space="preserve">
Requires three to four years of formal education and are associated
with junior non-medical professions (e.g. occupational therapists).</t>
        </r>
      </text>
    </comment>
    <comment ref="O15" authorId="0" shapeId="0" xr:uid="{6BB7EB1A-F84E-493A-BA78-94716E386902}">
      <text>
        <r>
          <rPr>
            <b/>
            <sz val="9"/>
            <color indexed="81"/>
            <rFont val="Tahoma"/>
            <family val="2"/>
          </rPr>
          <t>GROUP D:</t>
        </r>
        <r>
          <rPr>
            <sz val="9"/>
            <color indexed="81"/>
            <rFont val="Tahoma"/>
            <family val="2"/>
          </rPr>
          <t xml:space="preserve">
Requires either four to six years of formal education or three to four years education together with substantial experience. These activities are associated with technical or scientific professionals such as pharmacists or senior non-medical professions (Agenda for Change bands 7-8).</t>
        </r>
      </text>
    </comment>
    <comment ref="P15" authorId="0" shapeId="0" xr:uid="{002B094C-078B-4CFF-BD70-092B81DB462A}">
      <text>
        <r>
          <rPr>
            <b/>
            <sz val="9"/>
            <color indexed="81"/>
            <rFont val="Tahoma"/>
            <family val="2"/>
          </rPr>
          <t xml:space="preserve">GROUP E:
</t>
        </r>
        <r>
          <rPr>
            <sz val="9"/>
            <color indexed="81"/>
            <rFont val="Tahoma"/>
            <family val="2"/>
          </rPr>
          <t>Requires over six years of formal education and are generally associated with junior medical and dental staff.</t>
        </r>
      </text>
    </comment>
    <comment ref="Q15" authorId="0" shapeId="0" xr:uid="{E11E8F1B-33B1-4014-81BE-9694845723A9}">
      <text>
        <r>
          <rPr>
            <b/>
            <sz val="9"/>
            <color indexed="81"/>
            <rFont val="Tahoma"/>
            <family val="2"/>
          </rPr>
          <t>GROUP F:</t>
        </r>
        <r>
          <rPr>
            <sz val="9"/>
            <color indexed="81"/>
            <rFont val="Tahoma"/>
            <family val="2"/>
          </rPr>
          <t xml:space="preserve">
Requires over six years of formal education and significant experience in post. These skills are associated with consultant and associate specialist grade medical and dental staff.</t>
        </r>
      </text>
    </comment>
    <comment ref="B16" authorId="0" shapeId="0" xr:uid="{CAA7ECCA-7BFF-4316-9D7F-458BF0480D03}">
      <text>
        <r>
          <rPr>
            <b/>
            <sz val="9"/>
            <color indexed="81"/>
            <rFont val="Tahoma"/>
            <family val="2"/>
          </rPr>
          <t>PREVENT:</t>
        </r>
        <r>
          <rPr>
            <sz val="9"/>
            <color indexed="81"/>
            <rFont val="Tahoma"/>
            <family val="2"/>
          </rPr>
          <t xml:space="preserve">
Reduce the instance or incidence of ill health and demand for care.
</t>
        </r>
        <r>
          <rPr>
            <b/>
            <sz val="9"/>
            <color indexed="81"/>
            <rFont val="Tahoma"/>
            <family val="2"/>
          </rPr>
          <t>ENABLE:</t>
        </r>
        <r>
          <rPr>
            <sz val="9"/>
            <color indexed="81"/>
            <rFont val="Tahoma"/>
            <family val="2"/>
          </rPr>
          <t xml:space="preserve">
Increase the control and capacity service users have to improve their situation.
</t>
        </r>
        <r>
          <rPr>
            <b/>
            <sz val="9"/>
            <color indexed="81"/>
            <rFont val="Tahoma"/>
            <family val="2"/>
          </rPr>
          <t>REHABILITATE:</t>
        </r>
        <r>
          <rPr>
            <sz val="9"/>
            <color indexed="81"/>
            <rFont val="Tahoma"/>
            <family val="2"/>
          </rPr>
          <t xml:space="preserve">
Restore functionality, independence, articipation and even purpose of service user.</t>
        </r>
      </text>
    </comment>
    <comment ref="K16" authorId="0" shapeId="0" xr:uid="{A2DAD52C-FB0A-4AA0-AB90-C468F0C01958}">
      <text>
        <r>
          <rPr>
            <b/>
            <sz val="9"/>
            <color indexed="81"/>
            <rFont val="Tahoma"/>
            <family val="2"/>
          </rPr>
          <t>PREVENT:</t>
        </r>
        <r>
          <rPr>
            <sz val="9"/>
            <color indexed="81"/>
            <rFont val="Tahoma"/>
            <family val="2"/>
          </rPr>
          <t xml:space="preserve">
Reduce the instance or incidence of ill health and demand for care.
</t>
        </r>
        <r>
          <rPr>
            <b/>
            <sz val="9"/>
            <color indexed="81"/>
            <rFont val="Tahoma"/>
            <family val="2"/>
          </rPr>
          <t>ENABLE:</t>
        </r>
        <r>
          <rPr>
            <sz val="9"/>
            <color indexed="81"/>
            <rFont val="Tahoma"/>
            <family val="2"/>
          </rPr>
          <t xml:space="preserve">
Increase the control and capacity service users have to improve their situation.
</t>
        </r>
        <r>
          <rPr>
            <b/>
            <sz val="9"/>
            <color indexed="81"/>
            <rFont val="Tahoma"/>
            <family val="2"/>
          </rPr>
          <t>REHABILITATE:</t>
        </r>
        <r>
          <rPr>
            <sz val="9"/>
            <color indexed="81"/>
            <rFont val="Tahoma"/>
            <family val="2"/>
          </rPr>
          <t xml:space="preserve">
Restore functionality, independence, articipation and even purpose of service user.</t>
        </r>
      </text>
    </comment>
    <comment ref="B17" authorId="0" shapeId="0" xr:uid="{9AAB2EF4-1A98-4962-9EAE-0501396BF094}">
      <text>
        <r>
          <rPr>
            <b/>
            <sz val="9"/>
            <color indexed="81"/>
            <rFont val="Tahoma"/>
            <family val="2"/>
          </rPr>
          <t xml:space="preserve">ASSESS:
</t>
        </r>
        <r>
          <rPr>
            <sz val="9"/>
            <color indexed="81"/>
            <rFont val="Tahoma"/>
            <family val="2"/>
          </rPr>
          <t xml:space="preserve">Identify and understand a presenting problem, including evaluations.
</t>
        </r>
        <r>
          <rPr>
            <b/>
            <sz val="9"/>
            <color indexed="81"/>
            <rFont val="Tahoma"/>
            <family val="2"/>
          </rPr>
          <t>PLAN:</t>
        </r>
        <r>
          <rPr>
            <sz val="9"/>
            <color indexed="81"/>
            <rFont val="Tahoma"/>
            <family val="2"/>
          </rPr>
          <t xml:space="preserve">
Define the package of skills required to meet service user needs.</t>
        </r>
      </text>
    </comment>
    <comment ref="K17" authorId="0" shapeId="0" xr:uid="{C2F30106-BFD6-4177-97F4-B05AB8CCE278}">
      <text>
        <r>
          <rPr>
            <b/>
            <sz val="9"/>
            <color indexed="81"/>
            <rFont val="Tahoma"/>
            <family val="2"/>
          </rPr>
          <t xml:space="preserve">ASSESS:
</t>
        </r>
        <r>
          <rPr>
            <sz val="9"/>
            <color indexed="81"/>
            <rFont val="Tahoma"/>
            <family val="2"/>
          </rPr>
          <t xml:space="preserve">Identify and understand a presenting problem, including evaluations.
</t>
        </r>
        <r>
          <rPr>
            <b/>
            <sz val="9"/>
            <color indexed="81"/>
            <rFont val="Tahoma"/>
            <family val="2"/>
          </rPr>
          <t>PLAN:</t>
        </r>
        <r>
          <rPr>
            <sz val="9"/>
            <color indexed="81"/>
            <rFont val="Tahoma"/>
            <family val="2"/>
          </rPr>
          <t xml:space="preserve">
Define the package of skills required to meet service user needs.</t>
        </r>
      </text>
    </comment>
    <comment ref="B18" authorId="0" shapeId="0" xr:uid="{AC01D199-CE43-4EEA-A315-76A86A5A2BF9}">
      <text>
        <r>
          <rPr>
            <b/>
            <sz val="9"/>
            <color indexed="81"/>
            <rFont val="Tahoma"/>
            <family val="2"/>
          </rPr>
          <t xml:space="preserve">TREAT:
</t>
        </r>
        <r>
          <rPr>
            <sz val="9"/>
            <color indexed="81"/>
            <rFont val="Tahoma"/>
            <family val="2"/>
          </rPr>
          <t xml:space="preserve">Change the condition and restore the service user to good, or improved health.
</t>
        </r>
        <r>
          <rPr>
            <b/>
            <sz val="9"/>
            <color indexed="81"/>
            <rFont val="Tahoma"/>
            <family val="2"/>
          </rPr>
          <t>RELIEVE:</t>
        </r>
        <r>
          <rPr>
            <sz val="9"/>
            <color indexed="81"/>
            <rFont val="Tahoma"/>
            <family val="2"/>
          </rPr>
          <t xml:space="preserve">
Assist service users by abating symptoms of ill-health and distress and meet support needs</t>
        </r>
      </text>
    </comment>
    <comment ref="K18" authorId="0" shapeId="0" xr:uid="{B3FE476D-73C2-4E1B-A403-67E4D8B053E9}">
      <text>
        <r>
          <rPr>
            <b/>
            <sz val="9"/>
            <color indexed="81"/>
            <rFont val="Tahoma"/>
            <family val="2"/>
          </rPr>
          <t xml:space="preserve">TREAT:
</t>
        </r>
        <r>
          <rPr>
            <sz val="9"/>
            <color indexed="81"/>
            <rFont val="Tahoma"/>
            <family val="2"/>
          </rPr>
          <t xml:space="preserve">Change the condition and restore the service user to good, or improved health.
</t>
        </r>
        <r>
          <rPr>
            <b/>
            <sz val="9"/>
            <color indexed="81"/>
            <rFont val="Tahoma"/>
            <family val="2"/>
          </rPr>
          <t>RELIEVE:</t>
        </r>
        <r>
          <rPr>
            <sz val="9"/>
            <color indexed="81"/>
            <rFont val="Tahoma"/>
            <family val="2"/>
          </rPr>
          <t xml:space="preserve">
Assist service users by abating symptoms of ill-health and distress and meet support needs</t>
        </r>
      </text>
    </comment>
    <comment ref="B19" authorId="0" shapeId="0" xr:uid="{5C84D16C-99FC-4089-81CC-5847E3F4CE27}">
      <text>
        <r>
          <rPr>
            <b/>
            <sz val="9"/>
            <color indexed="81"/>
            <rFont val="Tahoma"/>
            <family val="2"/>
          </rPr>
          <t xml:space="preserve">LINK:
</t>
        </r>
        <r>
          <rPr>
            <sz val="9"/>
            <color indexed="81"/>
            <rFont val="Tahoma"/>
            <family val="2"/>
          </rPr>
          <t>Connect different sectors, services, workforces and their skills around a holistic understanding of the needs of the service user.</t>
        </r>
      </text>
    </comment>
    <comment ref="K19" authorId="0" shapeId="0" xr:uid="{32ED59C5-F497-4E83-BA91-9676ADA30DCD}">
      <text>
        <r>
          <rPr>
            <b/>
            <sz val="9"/>
            <color indexed="81"/>
            <rFont val="Tahoma"/>
            <family val="2"/>
          </rPr>
          <t xml:space="preserve">LINK:
</t>
        </r>
        <r>
          <rPr>
            <sz val="9"/>
            <color indexed="81"/>
            <rFont val="Tahoma"/>
            <family val="2"/>
          </rPr>
          <t>Connect different sectors, services, workforces and their skills around a holistic understanding of the needs of the service user.</t>
        </r>
      </text>
    </comment>
    <comment ref="C27" authorId="0" shapeId="0" xr:uid="{425C1716-8A37-41D7-8686-6D7F566A8D1D}">
      <text>
        <r>
          <rPr>
            <b/>
            <sz val="9"/>
            <color indexed="81"/>
            <rFont val="Tahoma"/>
            <family val="2"/>
          </rPr>
          <t>GROUP A:</t>
        </r>
        <r>
          <rPr>
            <sz val="9"/>
            <color indexed="81"/>
            <rFont val="Tahoma"/>
            <family val="2"/>
          </rPr>
          <t xml:space="preserve">
Requires no training at all and generally will not involve complex technology.</t>
        </r>
      </text>
    </comment>
    <comment ref="D27" authorId="0" shapeId="0" xr:uid="{2E4C9C99-6093-44A3-A127-066DB31B8C1B}">
      <text>
        <r>
          <rPr>
            <b/>
            <sz val="9"/>
            <color indexed="81"/>
            <rFont val="Tahoma"/>
            <family val="2"/>
          </rPr>
          <t>GROUP B:</t>
        </r>
        <r>
          <rPr>
            <sz val="9"/>
            <color indexed="81"/>
            <rFont val="Tahoma"/>
            <family val="2"/>
          </rPr>
          <t xml:space="preserve">
Requires some training, induction or education of up to a year, or substantial experience of around five years in the role.</t>
        </r>
      </text>
    </comment>
    <comment ref="E27" authorId="0" shapeId="0" xr:uid="{118DEB8A-F651-44D7-8A68-DD1BAB30C208}">
      <text>
        <r>
          <rPr>
            <b/>
            <sz val="9"/>
            <color indexed="81"/>
            <rFont val="Tahoma"/>
            <family val="2"/>
          </rPr>
          <t>GROUP C:</t>
        </r>
        <r>
          <rPr>
            <sz val="9"/>
            <color indexed="81"/>
            <rFont val="Tahoma"/>
            <family val="2"/>
          </rPr>
          <t xml:space="preserve">
Requires three to four years of formal education and are associated
with junior non-medical professions (e.g. occupational therapists).</t>
        </r>
      </text>
    </comment>
    <comment ref="F27" authorId="0" shapeId="0" xr:uid="{5393BF64-2128-45FD-8A21-BC6CE8A01B38}">
      <text>
        <r>
          <rPr>
            <b/>
            <sz val="9"/>
            <color indexed="81"/>
            <rFont val="Tahoma"/>
            <family val="2"/>
          </rPr>
          <t>GROUP D:</t>
        </r>
        <r>
          <rPr>
            <sz val="9"/>
            <color indexed="81"/>
            <rFont val="Tahoma"/>
            <family val="2"/>
          </rPr>
          <t xml:space="preserve">
Requires either four to six years of formal education or three to four years education together with substantial experience. These activities are associated with technical or scientific professionals such as pharmacists or senior non-medical professions (Agenda for Change bands 7-8).</t>
        </r>
      </text>
    </comment>
    <comment ref="G27" authorId="0" shapeId="0" xr:uid="{5F8E0CAC-6A72-47F1-BC40-0CAE52613F69}">
      <text>
        <r>
          <rPr>
            <b/>
            <sz val="9"/>
            <color indexed="81"/>
            <rFont val="Tahoma"/>
            <family val="2"/>
          </rPr>
          <t xml:space="preserve">GROUP E:
</t>
        </r>
        <r>
          <rPr>
            <sz val="9"/>
            <color indexed="81"/>
            <rFont val="Tahoma"/>
            <family val="2"/>
          </rPr>
          <t>Requires over six years of formal education and are generally associated with junior medical and dental staff.</t>
        </r>
      </text>
    </comment>
    <comment ref="H27" authorId="0" shapeId="0" xr:uid="{EEC1E637-3EAD-45CB-B6BB-94025AEA8253}">
      <text>
        <r>
          <rPr>
            <b/>
            <sz val="9"/>
            <color indexed="81"/>
            <rFont val="Tahoma"/>
            <family val="2"/>
          </rPr>
          <t>GROUP F:</t>
        </r>
        <r>
          <rPr>
            <sz val="9"/>
            <color indexed="81"/>
            <rFont val="Tahoma"/>
            <family val="2"/>
          </rPr>
          <t xml:space="preserve">
Requires over six years of formal education and significant experience in post. These skills are associated with consultant and associate specialist grade medical and dental staff.</t>
        </r>
      </text>
    </comment>
    <comment ref="L27" authorId="0" shapeId="0" xr:uid="{DCB0B917-9E13-42A5-A3D0-D3DB5DFD0832}">
      <text>
        <r>
          <rPr>
            <b/>
            <sz val="9"/>
            <color indexed="81"/>
            <rFont val="Tahoma"/>
            <family val="2"/>
          </rPr>
          <t>GROUP A:</t>
        </r>
        <r>
          <rPr>
            <sz val="9"/>
            <color indexed="81"/>
            <rFont val="Tahoma"/>
            <family val="2"/>
          </rPr>
          <t xml:space="preserve">
Requires no training at all and generally will not involve complex technology.</t>
        </r>
      </text>
    </comment>
    <comment ref="M27" authorId="0" shapeId="0" xr:uid="{1FE67558-ECCA-46FE-8460-8CA55EE3714A}">
      <text>
        <r>
          <rPr>
            <b/>
            <sz val="9"/>
            <color indexed="81"/>
            <rFont val="Tahoma"/>
            <family val="2"/>
          </rPr>
          <t>GROUP B:</t>
        </r>
        <r>
          <rPr>
            <sz val="9"/>
            <color indexed="81"/>
            <rFont val="Tahoma"/>
            <family val="2"/>
          </rPr>
          <t xml:space="preserve">
Requires some training, induction or education of up to a year, or substantial experience of around five years in the role.</t>
        </r>
      </text>
    </comment>
    <comment ref="N27" authorId="0" shapeId="0" xr:uid="{165A86F0-7F35-4899-BE2C-AAE3905ED565}">
      <text>
        <r>
          <rPr>
            <b/>
            <sz val="9"/>
            <color indexed="81"/>
            <rFont val="Tahoma"/>
            <family val="2"/>
          </rPr>
          <t>GROUP C:</t>
        </r>
        <r>
          <rPr>
            <sz val="9"/>
            <color indexed="81"/>
            <rFont val="Tahoma"/>
            <family val="2"/>
          </rPr>
          <t xml:space="preserve">
Requires three to four years of formal education and are associated
with junior non-medical professions (e.g. occupational therapists).</t>
        </r>
      </text>
    </comment>
    <comment ref="O27" authorId="0" shapeId="0" xr:uid="{97479D37-4D91-40FD-A0B4-CD6DBDD4454A}">
      <text>
        <r>
          <rPr>
            <b/>
            <sz val="9"/>
            <color indexed="81"/>
            <rFont val="Tahoma"/>
            <family val="2"/>
          </rPr>
          <t>GROUP D:</t>
        </r>
        <r>
          <rPr>
            <sz val="9"/>
            <color indexed="81"/>
            <rFont val="Tahoma"/>
            <family val="2"/>
          </rPr>
          <t xml:space="preserve">
Requires either four to six years of formal education or three to four years education together with substantial experience. These activities are associated with technical or scientific professionals such as pharmacists or senior non-medical professions (Agenda for Change bands 7-8).</t>
        </r>
      </text>
    </comment>
    <comment ref="P27" authorId="0" shapeId="0" xr:uid="{34A845B6-11B5-4AD7-96B5-23CD103E0D51}">
      <text>
        <r>
          <rPr>
            <b/>
            <sz val="9"/>
            <color indexed="81"/>
            <rFont val="Tahoma"/>
            <family val="2"/>
          </rPr>
          <t xml:space="preserve">GROUP E:
</t>
        </r>
        <r>
          <rPr>
            <sz val="9"/>
            <color indexed="81"/>
            <rFont val="Tahoma"/>
            <family val="2"/>
          </rPr>
          <t>Requires over six years of formal education and are generally associated with junior medical and dental staff.</t>
        </r>
      </text>
    </comment>
    <comment ref="Q27" authorId="0" shapeId="0" xr:uid="{7E4EC381-02B9-468E-AE89-5DBD9DA6AAA9}">
      <text>
        <r>
          <rPr>
            <b/>
            <sz val="9"/>
            <color indexed="81"/>
            <rFont val="Tahoma"/>
            <family val="2"/>
          </rPr>
          <t>GROUP F:</t>
        </r>
        <r>
          <rPr>
            <sz val="9"/>
            <color indexed="81"/>
            <rFont val="Tahoma"/>
            <family val="2"/>
          </rPr>
          <t xml:space="preserve">
Requires over six years of formal education and significant experience in post. These skills are associated with consultant and associate specialist grade medical and dental staff.</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Richard Blackwell</author>
  </authors>
  <commentList>
    <comment ref="C5" authorId="0" shapeId="0" xr:uid="{0F14835E-2C6A-4D3E-81BE-7AE7D87DC5E8}">
      <text>
        <r>
          <rPr>
            <b/>
            <sz val="9"/>
            <color indexed="81"/>
            <rFont val="Tahoma"/>
            <family val="2"/>
          </rPr>
          <t>GROUP A:</t>
        </r>
        <r>
          <rPr>
            <sz val="9"/>
            <color indexed="81"/>
            <rFont val="Tahoma"/>
            <family val="2"/>
          </rPr>
          <t xml:space="preserve">
Requires no training at all and generally will not involve complex technology.</t>
        </r>
      </text>
    </comment>
    <comment ref="D5" authorId="0" shapeId="0" xr:uid="{F21FCD99-D880-44C7-84B8-F4598E0EF8EF}">
      <text>
        <r>
          <rPr>
            <b/>
            <sz val="9"/>
            <color indexed="81"/>
            <rFont val="Tahoma"/>
            <family val="2"/>
          </rPr>
          <t>GROUP B:</t>
        </r>
        <r>
          <rPr>
            <sz val="9"/>
            <color indexed="81"/>
            <rFont val="Tahoma"/>
            <family val="2"/>
          </rPr>
          <t xml:space="preserve">
Requires some training, induction or education of up to a year, or substantial experience of around five years in the role.</t>
        </r>
      </text>
    </comment>
    <comment ref="E5" authorId="0" shapeId="0" xr:uid="{32D3984C-EA65-46CA-A929-CF746CF44426}">
      <text>
        <r>
          <rPr>
            <b/>
            <sz val="9"/>
            <color indexed="81"/>
            <rFont val="Tahoma"/>
            <family val="2"/>
          </rPr>
          <t>GROUP C:</t>
        </r>
        <r>
          <rPr>
            <sz val="9"/>
            <color indexed="81"/>
            <rFont val="Tahoma"/>
            <family val="2"/>
          </rPr>
          <t xml:space="preserve">
Requires three to four years of formal education and are associated
with junior non-medical professions (e.g. occupational therapists).</t>
        </r>
      </text>
    </comment>
    <comment ref="F5" authorId="0" shapeId="0" xr:uid="{83B080D9-12AE-4803-9198-0A0862A14AD1}">
      <text>
        <r>
          <rPr>
            <b/>
            <sz val="9"/>
            <color indexed="81"/>
            <rFont val="Tahoma"/>
            <family val="2"/>
          </rPr>
          <t>GROUP D:</t>
        </r>
        <r>
          <rPr>
            <sz val="9"/>
            <color indexed="81"/>
            <rFont val="Tahoma"/>
            <family val="2"/>
          </rPr>
          <t xml:space="preserve">
Requires either four to six years of formal education or three to four years education together with substantial experience. These activities are associated with technical or scientific professionals such as pharmacists or senior non-medical professions (Agenda for Change bands 7-8).</t>
        </r>
      </text>
    </comment>
    <comment ref="G5" authorId="0" shapeId="0" xr:uid="{646063AF-8BF7-4C63-B6B2-D5A03F889C49}">
      <text>
        <r>
          <rPr>
            <b/>
            <sz val="9"/>
            <color indexed="81"/>
            <rFont val="Tahoma"/>
            <family val="2"/>
          </rPr>
          <t xml:space="preserve">GROUP E:
</t>
        </r>
        <r>
          <rPr>
            <sz val="9"/>
            <color indexed="81"/>
            <rFont val="Tahoma"/>
            <family val="2"/>
          </rPr>
          <t>Requires over six years of formal education and are generally associated with junior medical and dental staff.</t>
        </r>
      </text>
    </comment>
    <comment ref="H5" authorId="0" shapeId="0" xr:uid="{8B978D1F-4617-4E11-8850-7F1232DB0CD9}">
      <text>
        <r>
          <rPr>
            <b/>
            <sz val="9"/>
            <color indexed="81"/>
            <rFont val="Tahoma"/>
            <family val="2"/>
          </rPr>
          <t>GROUP F:</t>
        </r>
        <r>
          <rPr>
            <sz val="9"/>
            <color indexed="81"/>
            <rFont val="Tahoma"/>
            <family val="2"/>
          </rPr>
          <t xml:space="preserve">
Requires over six years of formal education and significant experience in post. These skills are associated with consultant and associate specialist grade medical and dental staff.</t>
        </r>
      </text>
    </comment>
    <comment ref="L5" authorId="0" shapeId="0" xr:uid="{40FDCAED-9B17-44E1-9E2E-18A13F4AA5D5}">
      <text>
        <r>
          <rPr>
            <b/>
            <sz val="9"/>
            <color indexed="81"/>
            <rFont val="Tahoma"/>
            <family val="2"/>
          </rPr>
          <t>GROUP A:</t>
        </r>
        <r>
          <rPr>
            <sz val="9"/>
            <color indexed="81"/>
            <rFont val="Tahoma"/>
            <family val="2"/>
          </rPr>
          <t xml:space="preserve">
Requires no training at all and generally will not involve complex technology.</t>
        </r>
      </text>
    </comment>
    <comment ref="M5" authorId="0" shapeId="0" xr:uid="{708065B8-E6D3-4AFB-8454-844866C546C3}">
      <text>
        <r>
          <rPr>
            <b/>
            <sz val="9"/>
            <color indexed="81"/>
            <rFont val="Tahoma"/>
            <family val="2"/>
          </rPr>
          <t>GROUP B:</t>
        </r>
        <r>
          <rPr>
            <sz val="9"/>
            <color indexed="81"/>
            <rFont val="Tahoma"/>
            <family val="2"/>
          </rPr>
          <t xml:space="preserve">
Requires some training, induction or education of up to a year, or substantial experience of around five years in the role.</t>
        </r>
      </text>
    </comment>
    <comment ref="N5" authorId="0" shapeId="0" xr:uid="{ED7CEDFD-A1D8-4291-BC73-F0779A3C9718}">
      <text>
        <r>
          <rPr>
            <b/>
            <sz val="9"/>
            <color indexed="81"/>
            <rFont val="Tahoma"/>
            <family val="2"/>
          </rPr>
          <t>GROUP C:</t>
        </r>
        <r>
          <rPr>
            <sz val="9"/>
            <color indexed="81"/>
            <rFont val="Tahoma"/>
            <family val="2"/>
          </rPr>
          <t xml:space="preserve">
Requires three to four years of formal education and are associated
with junior non-medical professions (e.g. occupational therapists).</t>
        </r>
      </text>
    </comment>
    <comment ref="O5" authorId="0" shapeId="0" xr:uid="{112514E2-FB03-4BFA-A0B2-C8442C2FA48A}">
      <text>
        <r>
          <rPr>
            <b/>
            <sz val="9"/>
            <color indexed="81"/>
            <rFont val="Tahoma"/>
            <family val="2"/>
          </rPr>
          <t>GROUP D:</t>
        </r>
        <r>
          <rPr>
            <sz val="9"/>
            <color indexed="81"/>
            <rFont val="Tahoma"/>
            <family val="2"/>
          </rPr>
          <t xml:space="preserve">
Requires either four to six years of formal education or three to four years education together with substantial experience. These activities are associated with technical or scientific professionals such as pharmacists or senior non-medical professions (Agenda for Change bands 7-8).</t>
        </r>
      </text>
    </comment>
    <comment ref="P5" authorId="0" shapeId="0" xr:uid="{9597A465-20B6-4BB9-9859-DA280766542B}">
      <text>
        <r>
          <rPr>
            <b/>
            <sz val="9"/>
            <color indexed="81"/>
            <rFont val="Tahoma"/>
            <family val="2"/>
          </rPr>
          <t xml:space="preserve">GROUP E:
</t>
        </r>
        <r>
          <rPr>
            <sz val="9"/>
            <color indexed="81"/>
            <rFont val="Tahoma"/>
            <family val="2"/>
          </rPr>
          <t>Requires over six years of formal education and are generally associated with junior medical and dental staff.</t>
        </r>
      </text>
    </comment>
    <comment ref="Q5" authorId="0" shapeId="0" xr:uid="{184A242D-E2F2-40E1-920A-BCCCA5CB9C7D}">
      <text>
        <r>
          <rPr>
            <b/>
            <sz val="9"/>
            <color indexed="81"/>
            <rFont val="Tahoma"/>
            <family val="2"/>
          </rPr>
          <t>GROUP F:</t>
        </r>
        <r>
          <rPr>
            <sz val="9"/>
            <color indexed="81"/>
            <rFont val="Tahoma"/>
            <family val="2"/>
          </rPr>
          <t xml:space="preserve">
Requires over six years of formal education and significant experience in post. These skills are associated with consultant and associate specialist grade medical and dental staff.</t>
        </r>
      </text>
    </comment>
    <comment ref="U5" authorId="0" shapeId="0" xr:uid="{6E5E148E-8A3E-471C-8075-36439CEEFCEC}">
      <text>
        <r>
          <rPr>
            <b/>
            <sz val="9"/>
            <color indexed="81"/>
            <rFont val="Tahoma"/>
            <family val="2"/>
          </rPr>
          <t>GROUP A:</t>
        </r>
        <r>
          <rPr>
            <sz val="9"/>
            <color indexed="81"/>
            <rFont val="Tahoma"/>
            <family val="2"/>
          </rPr>
          <t xml:space="preserve">
Requires no training at all and generally will not involve complex technology.</t>
        </r>
      </text>
    </comment>
    <comment ref="V5" authorId="0" shapeId="0" xr:uid="{8CDE2414-2BDC-4515-8201-615024CB8FA3}">
      <text>
        <r>
          <rPr>
            <b/>
            <sz val="9"/>
            <color indexed="81"/>
            <rFont val="Tahoma"/>
            <family val="2"/>
          </rPr>
          <t>GROUP B:</t>
        </r>
        <r>
          <rPr>
            <sz val="9"/>
            <color indexed="81"/>
            <rFont val="Tahoma"/>
            <family val="2"/>
          </rPr>
          <t xml:space="preserve">
Requires some training, induction or education of up to a year, or substantial experience of around five years in the role.</t>
        </r>
      </text>
    </comment>
    <comment ref="W5" authorId="0" shapeId="0" xr:uid="{925CEB72-6472-4953-88C6-BF760B01F7BC}">
      <text>
        <r>
          <rPr>
            <b/>
            <sz val="9"/>
            <color indexed="81"/>
            <rFont val="Tahoma"/>
            <family val="2"/>
          </rPr>
          <t>GROUP C:</t>
        </r>
        <r>
          <rPr>
            <sz val="9"/>
            <color indexed="81"/>
            <rFont val="Tahoma"/>
            <family val="2"/>
          </rPr>
          <t xml:space="preserve">
Requires three to four years of formal education and are associated
with junior non-medical professions (e.g. occupational therapists).</t>
        </r>
      </text>
    </comment>
    <comment ref="X5" authorId="0" shapeId="0" xr:uid="{FCCEFCC2-7A63-438D-A86C-9A777D291263}">
      <text>
        <r>
          <rPr>
            <b/>
            <sz val="9"/>
            <color indexed="81"/>
            <rFont val="Tahoma"/>
            <family val="2"/>
          </rPr>
          <t>GROUP D:</t>
        </r>
        <r>
          <rPr>
            <sz val="9"/>
            <color indexed="81"/>
            <rFont val="Tahoma"/>
            <family val="2"/>
          </rPr>
          <t xml:space="preserve">
Requires either four to six years of formal education or three to four years education together with substantial experience. These activities are associated with technical or scientific professionals such as pharmacists or senior non-medical professions (Agenda for Change bands 7-8).</t>
        </r>
      </text>
    </comment>
    <comment ref="Y5" authorId="0" shapeId="0" xr:uid="{9C1036EA-E726-44C3-86A8-A0E444262FFA}">
      <text>
        <r>
          <rPr>
            <b/>
            <sz val="9"/>
            <color indexed="81"/>
            <rFont val="Tahoma"/>
            <family val="2"/>
          </rPr>
          <t xml:space="preserve">GROUP E:
</t>
        </r>
        <r>
          <rPr>
            <sz val="9"/>
            <color indexed="81"/>
            <rFont val="Tahoma"/>
            <family val="2"/>
          </rPr>
          <t>Requires over six years of formal education and are generally associated with junior medical and dental staff.</t>
        </r>
      </text>
    </comment>
    <comment ref="Z5" authorId="0" shapeId="0" xr:uid="{41A7A5CC-6851-41FA-B3F7-F55BAB948843}">
      <text>
        <r>
          <rPr>
            <b/>
            <sz val="9"/>
            <color indexed="81"/>
            <rFont val="Tahoma"/>
            <family val="2"/>
          </rPr>
          <t>GROUP F:</t>
        </r>
        <r>
          <rPr>
            <sz val="9"/>
            <color indexed="81"/>
            <rFont val="Tahoma"/>
            <family val="2"/>
          </rPr>
          <t xml:space="preserve">
Requires over six years of formal education and significant experience in post. These skills are associated with consultant and associate specialist grade medical and dental staff.</t>
        </r>
      </text>
    </comment>
    <comment ref="B6" authorId="0" shapeId="0" xr:uid="{EDD1BDB9-09AD-48EB-904F-F8766A28CA28}">
      <text>
        <r>
          <rPr>
            <b/>
            <sz val="9"/>
            <color indexed="81"/>
            <rFont val="Tahoma"/>
            <family val="2"/>
          </rPr>
          <t>PREVENT:</t>
        </r>
        <r>
          <rPr>
            <sz val="9"/>
            <color indexed="81"/>
            <rFont val="Tahoma"/>
            <family val="2"/>
          </rPr>
          <t xml:space="preserve">
Reduce the instance or incidence of ill health and demand for care.
</t>
        </r>
        <r>
          <rPr>
            <b/>
            <sz val="9"/>
            <color indexed="81"/>
            <rFont val="Tahoma"/>
            <family val="2"/>
          </rPr>
          <t>ENABLE:</t>
        </r>
        <r>
          <rPr>
            <sz val="9"/>
            <color indexed="81"/>
            <rFont val="Tahoma"/>
            <family val="2"/>
          </rPr>
          <t xml:space="preserve">
Increase the control and capacity service users have to improve their situation.
</t>
        </r>
        <r>
          <rPr>
            <b/>
            <sz val="9"/>
            <color indexed="81"/>
            <rFont val="Tahoma"/>
            <family val="2"/>
          </rPr>
          <t>REHABILITATE:</t>
        </r>
        <r>
          <rPr>
            <sz val="9"/>
            <color indexed="81"/>
            <rFont val="Tahoma"/>
            <family val="2"/>
          </rPr>
          <t xml:space="preserve">
Restore functionality, independence, articipation and even purpose of service user.</t>
        </r>
      </text>
    </comment>
    <comment ref="K6" authorId="0" shapeId="0" xr:uid="{700D9405-B42A-40C3-8A16-B4074E05C68A}">
      <text>
        <r>
          <rPr>
            <b/>
            <sz val="9"/>
            <color indexed="81"/>
            <rFont val="Tahoma"/>
            <family val="2"/>
          </rPr>
          <t>PREVENT:</t>
        </r>
        <r>
          <rPr>
            <sz val="9"/>
            <color indexed="81"/>
            <rFont val="Tahoma"/>
            <family val="2"/>
          </rPr>
          <t xml:space="preserve">
Reduce the instance or incidence of ill health and demand for care.
</t>
        </r>
        <r>
          <rPr>
            <b/>
            <sz val="9"/>
            <color indexed="81"/>
            <rFont val="Tahoma"/>
            <family val="2"/>
          </rPr>
          <t>ENABLE:</t>
        </r>
        <r>
          <rPr>
            <sz val="9"/>
            <color indexed="81"/>
            <rFont val="Tahoma"/>
            <family val="2"/>
          </rPr>
          <t xml:space="preserve">
Increase the control and capacity service users have to improve their situation.
</t>
        </r>
        <r>
          <rPr>
            <b/>
            <sz val="9"/>
            <color indexed="81"/>
            <rFont val="Tahoma"/>
            <family val="2"/>
          </rPr>
          <t>REHABILITATE:</t>
        </r>
        <r>
          <rPr>
            <sz val="9"/>
            <color indexed="81"/>
            <rFont val="Tahoma"/>
            <family val="2"/>
          </rPr>
          <t xml:space="preserve">
Restore functionality, independence, articipation and even purpose of service user.</t>
        </r>
      </text>
    </comment>
    <comment ref="T6" authorId="0" shapeId="0" xr:uid="{8BAD4120-05EB-447F-92B4-B557430C78D1}">
      <text>
        <r>
          <rPr>
            <b/>
            <sz val="9"/>
            <color indexed="81"/>
            <rFont val="Tahoma"/>
            <family val="2"/>
          </rPr>
          <t>PREVENT:</t>
        </r>
        <r>
          <rPr>
            <sz val="9"/>
            <color indexed="81"/>
            <rFont val="Tahoma"/>
            <family val="2"/>
          </rPr>
          <t xml:space="preserve">
Reduce the instance or incidence of ill health and demand for care.
</t>
        </r>
        <r>
          <rPr>
            <b/>
            <sz val="9"/>
            <color indexed="81"/>
            <rFont val="Tahoma"/>
            <family val="2"/>
          </rPr>
          <t>ENABLE:</t>
        </r>
        <r>
          <rPr>
            <sz val="9"/>
            <color indexed="81"/>
            <rFont val="Tahoma"/>
            <family val="2"/>
          </rPr>
          <t xml:space="preserve">
Increase the control and capacity service users have to improve their situation.
</t>
        </r>
        <r>
          <rPr>
            <b/>
            <sz val="9"/>
            <color indexed="81"/>
            <rFont val="Tahoma"/>
            <family val="2"/>
          </rPr>
          <t>REHABILITATE:</t>
        </r>
        <r>
          <rPr>
            <sz val="9"/>
            <color indexed="81"/>
            <rFont val="Tahoma"/>
            <family val="2"/>
          </rPr>
          <t xml:space="preserve">
Restore functionality, independence, articipation and even purpose of service user.</t>
        </r>
      </text>
    </comment>
    <comment ref="B7" authorId="0" shapeId="0" xr:uid="{0FE5ADD3-A3F0-4790-B588-6AF3BF6459D1}">
      <text>
        <r>
          <rPr>
            <b/>
            <sz val="9"/>
            <color indexed="81"/>
            <rFont val="Tahoma"/>
            <family val="2"/>
          </rPr>
          <t xml:space="preserve">ASSESS:
</t>
        </r>
        <r>
          <rPr>
            <sz val="9"/>
            <color indexed="81"/>
            <rFont val="Tahoma"/>
            <family val="2"/>
          </rPr>
          <t xml:space="preserve">Identify and understand a presenting problem, including evaluations.
</t>
        </r>
        <r>
          <rPr>
            <b/>
            <sz val="9"/>
            <color indexed="81"/>
            <rFont val="Tahoma"/>
            <family val="2"/>
          </rPr>
          <t>PLAN:</t>
        </r>
        <r>
          <rPr>
            <sz val="9"/>
            <color indexed="81"/>
            <rFont val="Tahoma"/>
            <family val="2"/>
          </rPr>
          <t xml:space="preserve">
Define the package of skills required to meet service user needs.</t>
        </r>
      </text>
    </comment>
    <comment ref="K7" authorId="0" shapeId="0" xr:uid="{C642F61F-818D-4C8C-9E33-BDCAFAA87B7B}">
      <text>
        <r>
          <rPr>
            <b/>
            <sz val="9"/>
            <color indexed="81"/>
            <rFont val="Tahoma"/>
            <family val="2"/>
          </rPr>
          <t xml:space="preserve">ASSESS:
</t>
        </r>
        <r>
          <rPr>
            <sz val="9"/>
            <color indexed="81"/>
            <rFont val="Tahoma"/>
            <family val="2"/>
          </rPr>
          <t xml:space="preserve">Identify and understand a presenting problem, including evaluations.
</t>
        </r>
        <r>
          <rPr>
            <b/>
            <sz val="9"/>
            <color indexed="81"/>
            <rFont val="Tahoma"/>
            <family val="2"/>
          </rPr>
          <t>PLAN:</t>
        </r>
        <r>
          <rPr>
            <sz val="9"/>
            <color indexed="81"/>
            <rFont val="Tahoma"/>
            <family val="2"/>
          </rPr>
          <t xml:space="preserve">
Define the package of skills required to meet service user needs.</t>
        </r>
      </text>
    </comment>
    <comment ref="T7" authorId="0" shapeId="0" xr:uid="{A5A153ED-5366-4282-BE05-61B5A8838025}">
      <text>
        <r>
          <rPr>
            <b/>
            <sz val="9"/>
            <color indexed="81"/>
            <rFont val="Tahoma"/>
            <family val="2"/>
          </rPr>
          <t xml:space="preserve">ASSESS:
</t>
        </r>
        <r>
          <rPr>
            <sz val="9"/>
            <color indexed="81"/>
            <rFont val="Tahoma"/>
            <family val="2"/>
          </rPr>
          <t xml:space="preserve">Identify and understand a presenting problem, including evaluations.
</t>
        </r>
        <r>
          <rPr>
            <b/>
            <sz val="9"/>
            <color indexed="81"/>
            <rFont val="Tahoma"/>
            <family val="2"/>
          </rPr>
          <t>PLAN:</t>
        </r>
        <r>
          <rPr>
            <sz val="9"/>
            <color indexed="81"/>
            <rFont val="Tahoma"/>
            <family val="2"/>
          </rPr>
          <t xml:space="preserve">
Define the package of skills required to meet service user needs.</t>
        </r>
      </text>
    </comment>
    <comment ref="B8" authorId="0" shapeId="0" xr:uid="{52FFFDD7-4A00-4548-93E3-6AE864A47F01}">
      <text>
        <r>
          <rPr>
            <b/>
            <sz val="9"/>
            <color indexed="81"/>
            <rFont val="Tahoma"/>
            <family val="2"/>
          </rPr>
          <t xml:space="preserve">TREAT:
</t>
        </r>
        <r>
          <rPr>
            <sz val="9"/>
            <color indexed="81"/>
            <rFont val="Tahoma"/>
            <family val="2"/>
          </rPr>
          <t xml:space="preserve">Change the condition and restore the service user to good, or improved health.
</t>
        </r>
        <r>
          <rPr>
            <b/>
            <sz val="9"/>
            <color indexed="81"/>
            <rFont val="Tahoma"/>
            <family val="2"/>
          </rPr>
          <t>RELIEVE:</t>
        </r>
        <r>
          <rPr>
            <sz val="9"/>
            <color indexed="81"/>
            <rFont val="Tahoma"/>
            <family val="2"/>
          </rPr>
          <t xml:space="preserve">
Assist service users by abating symptoms of ill-health and distress and meet support needs</t>
        </r>
      </text>
    </comment>
    <comment ref="K8" authorId="0" shapeId="0" xr:uid="{E01E0432-0C19-41AA-82ED-9DF3B24B510C}">
      <text>
        <r>
          <rPr>
            <b/>
            <sz val="9"/>
            <color indexed="81"/>
            <rFont val="Tahoma"/>
            <family val="2"/>
          </rPr>
          <t xml:space="preserve">TREAT:
</t>
        </r>
        <r>
          <rPr>
            <sz val="9"/>
            <color indexed="81"/>
            <rFont val="Tahoma"/>
            <family val="2"/>
          </rPr>
          <t xml:space="preserve">Change the condition and restore the service user to good, or improved health.
</t>
        </r>
        <r>
          <rPr>
            <b/>
            <sz val="9"/>
            <color indexed="81"/>
            <rFont val="Tahoma"/>
            <family val="2"/>
          </rPr>
          <t>RELIEVE:</t>
        </r>
        <r>
          <rPr>
            <sz val="9"/>
            <color indexed="81"/>
            <rFont val="Tahoma"/>
            <family val="2"/>
          </rPr>
          <t xml:space="preserve">
Assist service users by abating symptoms of ill-health and distress and meet support needs</t>
        </r>
      </text>
    </comment>
    <comment ref="T8" authorId="0" shapeId="0" xr:uid="{1E39DC51-2D11-47AE-8833-AE30C43FED68}">
      <text>
        <r>
          <rPr>
            <b/>
            <sz val="9"/>
            <color indexed="81"/>
            <rFont val="Tahoma"/>
            <family val="2"/>
          </rPr>
          <t xml:space="preserve">TREAT:
</t>
        </r>
        <r>
          <rPr>
            <sz val="9"/>
            <color indexed="81"/>
            <rFont val="Tahoma"/>
            <family val="2"/>
          </rPr>
          <t xml:space="preserve">Change the condition and restore the service user to good, or improved health.
</t>
        </r>
        <r>
          <rPr>
            <b/>
            <sz val="9"/>
            <color indexed="81"/>
            <rFont val="Tahoma"/>
            <family val="2"/>
          </rPr>
          <t>RELIEVE:</t>
        </r>
        <r>
          <rPr>
            <sz val="9"/>
            <color indexed="81"/>
            <rFont val="Tahoma"/>
            <family val="2"/>
          </rPr>
          <t xml:space="preserve">
Assist service users by abating symptoms of ill-health and distress and meet support needs</t>
        </r>
      </text>
    </comment>
    <comment ref="B9" authorId="0" shapeId="0" xr:uid="{7CFF16B8-D625-4DE3-BB9F-0D943786910F}">
      <text>
        <r>
          <rPr>
            <b/>
            <sz val="9"/>
            <color indexed="81"/>
            <rFont val="Tahoma"/>
            <family val="2"/>
          </rPr>
          <t xml:space="preserve">LINK:
</t>
        </r>
        <r>
          <rPr>
            <sz val="9"/>
            <color indexed="81"/>
            <rFont val="Tahoma"/>
            <family val="2"/>
          </rPr>
          <t>Connect different sectors, services, workforces and their skills around a holistic understanding of the needs of the service user.</t>
        </r>
      </text>
    </comment>
    <comment ref="K9" authorId="0" shapeId="0" xr:uid="{A97A0917-F9C5-4AD5-9AB4-B9B340C3B4E7}">
      <text>
        <r>
          <rPr>
            <b/>
            <sz val="9"/>
            <color indexed="81"/>
            <rFont val="Tahoma"/>
            <family val="2"/>
          </rPr>
          <t xml:space="preserve">LINK:
</t>
        </r>
        <r>
          <rPr>
            <sz val="9"/>
            <color indexed="81"/>
            <rFont val="Tahoma"/>
            <family val="2"/>
          </rPr>
          <t>Connect different sectors, services, workforces and their skills around a holistic understanding of the needs of the service user.</t>
        </r>
      </text>
    </comment>
    <comment ref="T9" authorId="0" shapeId="0" xr:uid="{2304610F-2E1C-40CC-9BB7-17D5AFDFD418}">
      <text>
        <r>
          <rPr>
            <b/>
            <sz val="9"/>
            <color indexed="81"/>
            <rFont val="Tahoma"/>
            <family val="2"/>
          </rPr>
          <t xml:space="preserve">LINK:
</t>
        </r>
        <r>
          <rPr>
            <sz val="9"/>
            <color indexed="81"/>
            <rFont val="Tahoma"/>
            <family val="2"/>
          </rPr>
          <t>Connect different sectors, services, workforces and their skills around a holistic understanding of the needs of the service user.</t>
        </r>
      </text>
    </comment>
    <comment ref="C15" authorId="0" shapeId="0" xr:uid="{6E4A1B62-A128-40AF-90EF-40EB7D3F02DB}">
      <text>
        <r>
          <rPr>
            <b/>
            <sz val="9"/>
            <color indexed="81"/>
            <rFont val="Tahoma"/>
            <family val="2"/>
          </rPr>
          <t>GROUP A:</t>
        </r>
        <r>
          <rPr>
            <sz val="9"/>
            <color indexed="81"/>
            <rFont val="Tahoma"/>
            <family val="2"/>
          </rPr>
          <t xml:space="preserve">
Requires no training at all and generally will not involve complex technology.</t>
        </r>
      </text>
    </comment>
    <comment ref="D15" authorId="0" shapeId="0" xr:uid="{41723E11-FA3D-41F0-A700-E601413299EA}">
      <text>
        <r>
          <rPr>
            <b/>
            <sz val="9"/>
            <color indexed="81"/>
            <rFont val="Tahoma"/>
            <family val="2"/>
          </rPr>
          <t>GROUP B:</t>
        </r>
        <r>
          <rPr>
            <sz val="9"/>
            <color indexed="81"/>
            <rFont val="Tahoma"/>
            <family val="2"/>
          </rPr>
          <t xml:space="preserve">
Requires some training, induction or education of up to a year, or substantial experience of around five years in the role.</t>
        </r>
      </text>
    </comment>
    <comment ref="E15" authorId="0" shapeId="0" xr:uid="{6A7F7FFE-36FD-43BE-ADD7-75136D535903}">
      <text>
        <r>
          <rPr>
            <b/>
            <sz val="9"/>
            <color indexed="81"/>
            <rFont val="Tahoma"/>
            <family val="2"/>
          </rPr>
          <t>GROUP C:</t>
        </r>
        <r>
          <rPr>
            <sz val="9"/>
            <color indexed="81"/>
            <rFont val="Tahoma"/>
            <family val="2"/>
          </rPr>
          <t xml:space="preserve">
Requires three to four years of formal education and are associated
with junior non-medical professions (e.g. occupational therapists).</t>
        </r>
      </text>
    </comment>
    <comment ref="F15" authorId="0" shapeId="0" xr:uid="{D749591B-3DE8-4045-A494-44171CD487D5}">
      <text>
        <r>
          <rPr>
            <b/>
            <sz val="9"/>
            <color indexed="81"/>
            <rFont val="Tahoma"/>
            <family val="2"/>
          </rPr>
          <t>GROUP D:</t>
        </r>
        <r>
          <rPr>
            <sz val="9"/>
            <color indexed="81"/>
            <rFont val="Tahoma"/>
            <family val="2"/>
          </rPr>
          <t xml:space="preserve">
Requires either four to six years of formal education or three to four years education together with substantial experience. These activities are associated with technical or scientific professionals such as pharmacists or senior non-medical professions (Agenda for Change bands 7-8).</t>
        </r>
      </text>
    </comment>
    <comment ref="G15" authorId="0" shapeId="0" xr:uid="{F9BDA643-B746-446C-883A-2AA5D563F5A3}">
      <text>
        <r>
          <rPr>
            <b/>
            <sz val="9"/>
            <color indexed="81"/>
            <rFont val="Tahoma"/>
            <family val="2"/>
          </rPr>
          <t xml:space="preserve">GROUP E:
</t>
        </r>
        <r>
          <rPr>
            <sz val="9"/>
            <color indexed="81"/>
            <rFont val="Tahoma"/>
            <family val="2"/>
          </rPr>
          <t>Requires over six years of formal education and are generally associated with junior medical and dental staff.</t>
        </r>
      </text>
    </comment>
    <comment ref="H15" authorId="0" shapeId="0" xr:uid="{200CFD8C-3667-4F20-9961-BA89340F402D}">
      <text>
        <r>
          <rPr>
            <b/>
            <sz val="9"/>
            <color indexed="81"/>
            <rFont val="Tahoma"/>
            <family val="2"/>
          </rPr>
          <t>GROUP F:</t>
        </r>
        <r>
          <rPr>
            <sz val="9"/>
            <color indexed="81"/>
            <rFont val="Tahoma"/>
            <family val="2"/>
          </rPr>
          <t xml:space="preserve">
Requires over six years of formal education and significant experience in post. These skills are associated with consultant and associate specialist grade medical and dental staff.</t>
        </r>
      </text>
    </comment>
    <comment ref="L15" authorId="0" shapeId="0" xr:uid="{41C30B25-21EE-4994-A62C-1663C0716FAB}">
      <text>
        <r>
          <rPr>
            <b/>
            <sz val="9"/>
            <color indexed="81"/>
            <rFont val="Tahoma"/>
            <family val="2"/>
          </rPr>
          <t>GROUP A:</t>
        </r>
        <r>
          <rPr>
            <sz val="9"/>
            <color indexed="81"/>
            <rFont val="Tahoma"/>
            <family val="2"/>
          </rPr>
          <t xml:space="preserve">
Requires no training at all and generally will not involve complex technology.</t>
        </r>
      </text>
    </comment>
    <comment ref="M15" authorId="0" shapeId="0" xr:uid="{4EABB0CF-9771-4A7B-B66E-06C3EFDF7C01}">
      <text>
        <r>
          <rPr>
            <b/>
            <sz val="9"/>
            <color indexed="81"/>
            <rFont val="Tahoma"/>
            <family val="2"/>
          </rPr>
          <t>GROUP B:</t>
        </r>
        <r>
          <rPr>
            <sz val="9"/>
            <color indexed="81"/>
            <rFont val="Tahoma"/>
            <family val="2"/>
          </rPr>
          <t xml:space="preserve">
Requires some training, induction or education of up to a year, or substantial experience of around five years in the role.</t>
        </r>
      </text>
    </comment>
    <comment ref="N15" authorId="0" shapeId="0" xr:uid="{EAEC3F05-4A4D-4A94-887C-F9057CF2E796}">
      <text>
        <r>
          <rPr>
            <b/>
            <sz val="9"/>
            <color indexed="81"/>
            <rFont val="Tahoma"/>
            <family val="2"/>
          </rPr>
          <t>GROUP C:</t>
        </r>
        <r>
          <rPr>
            <sz val="9"/>
            <color indexed="81"/>
            <rFont val="Tahoma"/>
            <family val="2"/>
          </rPr>
          <t xml:space="preserve">
Requires three to four years of formal education and are associated
with junior non-medical professions (e.g. occupational therapists).</t>
        </r>
      </text>
    </comment>
    <comment ref="O15" authorId="0" shapeId="0" xr:uid="{F1F6BB2D-C445-4800-B189-D11497F9C2CF}">
      <text>
        <r>
          <rPr>
            <b/>
            <sz val="9"/>
            <color indexed="81"/>
            <rFont val="Tahoma"/>
            <family val="2"/>
          </rPr>
          <t>GROUP D:</t>
        </r>
        <r>
          <rPr>
            <sz val="9"/>
            <color indexed="81"/>
            <rFont val="Tahoma"/>
            <family val="2"/>
          </rPr>
          <t xml:space="preserve">
Requires either four to six years of formal education or three to four years education together with substantial experience. These activities are associated with technical or scientific professionals such as pharmacists or senior non-medical professions (Agenda for Change bands 7-8).</t>
        </r>
      </text>
    </comment>
    <comment ref="P15" authorId="0" shapeId="0" xr:uid="{78872F3E-4F98-43BA-88B1-549CDD1ADBFC}">
      <text>
        <r>
          <rPr>
            <b/>
            <sz val="9"/>
            <color indexed="81"/>
            <rFont val="Tahoma"/>
            <family val="2"/>
          </rPr>
          <t xml:space="preserve">GROUP E:
</t>
        </r>
        <r>
          <rPr>
            <sz val="9"/>
            <color indexed="81"/>
            <rFont val="Tahoma"/>
            <family val="2"/>
          </rPr>
          <t>Requires over six years of formal education and are generally associated with junior medical and dental staff.</t>
        </r>
      </text>
    </comment>
    <comment ref="Q15" authorId="0" shapeId="0" xr:uid="{379FE0CB-B9A8-4DCB-89B9-773BE4F9295B}">
      <text>
        <r>
          <rPr>
            <b/>
            <sz val="9"/>
            <color indexed="81"/>
            <rFont val="Tahoma"/>
            <family val="2"/>
          </rPr>
          <t>GROUP F:</t>
        </r>
        <r>
          <rPr>
            <sz val="9"/>
            <color indexed="81"/>
            <rFont val="Tahoma"/>
            <family val="2"/>
          </rPr>
          <t xml:space="preserve">
Requires over six years of formal education and significant experience in post. These skills are associated with consultant and associate specialist grade medical and dental staff.</t>
        </r>
      </text>
    </comment>
    <comment ref="B16" authorId="0" shapeId="0" xr:uid="{2AD8ABC1-C8B3-4B16-B24F-9DFFCA1F095B}">
      <text>
        <r>
          <rPr>
            <b/>
            <sz val="9"/>
            <color indexed="81"/>
            <rFont val="Tahoma"/>
            <family val="2"/>
          </rPr>
          <t>PREVENT:</t>
        </r>
        <r>
          <rPr>
            <sz val="9"/>
            <color indexed="81"/>
            <rFont val="Tahoma"/>
            <family val="2"/>
          </rPr>
          <t xml:space="preserve">
Reduce the instance or incidence of ill health and demand for care.
</t>
        </r>
        <r>
          <rPr>
            <b/>
            <sz val="9"/>
            <color indexed="81"/>
            <rFont val="Tahoma"/>
            <family val="2"/>
          </rPr>
          <t>ENABLE:</t>
        </r>
        <r>
          <rPr>
            <sz val="9"/>
            <color indexed="81"/>
            <rFont val="Tahoma"/>
            <family val="2"/>
          </rPr>
          <t xml:space="preserve">
Increase the control and capacity service users have to improve their situation.
</t>
        </r>
        <r>
          <rPr>
            <b/>
            <sz val="9"/>
            <color indexed="81"/>
            <rFont val="Tahoma"/>
            <family val="2"/>
          </rPr>
          <t>REHABILITATE:</t>
        </r>
        <r>
          <rPr>
            <sz val="9"/>
            <color indexed="81"/>
            <rFont val="Tahoma"/>
            <family val="2"/>
          </rPr>
          <t xml:space="preserve">
Restore functionality, independence, articipation and even purpose of service user.</t>
        </r>
      </text>
    </comment>
    <comment ref="K16" authorId="0" shapeId="0" xr:uid="{1FC29E91-7AF9-442C-87A8-ECA30CA7B88F}">
      <text>
        <r>
          <rPr>
            <b/>
            <sz val="9"/>
            <color indexed="81"/>
            <rFont val="Tahoma"/>
            <family val="2"/>
          </rPr>
          <t>PREVENT:</t>
        </r>
        <r>
          <rPr>
            <sz val="9"/>
            <color indexed="81"/>
            <rFont val="Tahoma"/>
            <family val="2"/>
          </rPr>
          <t xml:space="preserve">
Reduce the instance or incidence of ill health and demand for care.
</t>
        </r>
        <r>
          <rPr>
            <b/>
            <sz val="9"/>
            <color indexed="81"/>
            <rFont val="Tahoma"/>
            <family val="2"/>
          </rPr>
          <t>ENABLE:</t>
        </r>
        <r>
          <rPr>
            <sz val="9"/>
            <color indexed="81"/>
            <rFont val="Tahoma"/>
            <family val="2"/>
          </rPr>
          <t xml:space="preserve">
Increase the control and capacity service users have to improve their situation.
</t>
        </r>
        <r>
          <rPr>
            <b/>
            <sz val="9"/>
            <color indexed="81"/>
            <rFont val="Tahoma"/>
            <family val="2"/>
          </rPr>
          <t>REHABILITATE:</t>
        </r>
        <r>
          <rPr>
            <sz val="9"/>
            <color indexed="81"/>
            <rFont val="Tahoma"/>
            <family val="2"/>
          </rPr>
          <t xml:space="preserve">
Restore functionality, independence, articipation and even purpose of service user.</t>
        </r>
      </text>
    </comment>
    <comment ref="B17" authorId="0" shapeId="0" xr:uid="{9D4627D2-81D3-4CFB-823F-4A26169E1AC0}">
      <text>
        <r>
          <rPr>
            <b/>
            <sz val="9"/>
            <color indexed="81"/>
            <rFont val="Tahoma"/>
            <family val="2"/>
          </rPr>
          <t xml:space="preserve">ASSESS:
</t>
        </r>
        <r>
          <rPr>
            <sz val="9"/>
            <color indexed="81"/>
            <rFont val="Tahoma"/>
            <family val="2"/>
          </rPr>
          <t xml:space="preserve">Identify and understand a presenting problem, including evaluations.
</t>
        </r>
        <r>
          <rPr>
            <b/>
            <sz val="9"/>
            <color indexed="81"/>
            <rFont val="Tahoma"/>
            <family val="2"/>
          </rPr>
          <t>PLAN:</t>
        </r>
        <r>
          <rPr>
            <sz val="9"/>
            <color indexed="81"/>
            <rFont val="Tahoma"/>
            <family val="2"/>
          </rPr>
          <t xml:space="preserve">
Define the package of skills required to meet service user needs.</t>
        </r>
      </text>
    </comment>
    <comment ref="K17" authorId="0" shapeId="0" xr:uid="{FE6F8608-DF84-4739-8F5E-096158AAFF9E}">
      <text>
        <r>
          <rPr>
            <b/>
            <sz val="9"/>
            <color indexed="81"/>
            <rFont val="Tahoma"/>
            <family val="2"/>
          </rPr>
          <t xml:space="preserve">ASSESS:
</t>
        </r>
        <r>
          <rPr>
            <sz val="9"/>
            <color indexed="81"/>
            <rFont val="Tahoma"/>
            <family val="2"/>
          </rPr>
          <t xml:space="preserve">Identify and understand a presenting problem, including evaluations.
</t>
        </r>
        <r>
          <rPr>
            <b/>
            <sz val="9"/>
            <color indexed="81"/>
            <rFont val="Tahoma"/>
            <family val="2"/>
          </rPr>
          <t>PLAN:</t>
        </r>
        <r>
          <rPr>
            <sz val="9"/>
            <color indexed="81"/>
            <rFont val="Tahoma"/>
            <family val="2"/>
          </rPr>
          <t xml:space="preserve">
Define the package of skills required to meet service user needs.</t>
        </r>
      </text>
    </comment>
    <comment ref="B18" authorId="0" shapeId="0" xr:uid="{C678913E-035E-405F-B67F-CBF4321A3817}">
      <text>
        <r>
          <rPr>
            <b/>
            <sz val="9"/>
            <color indexed="81"/>
            <rFont val="Tahoma"/>
            <family val="2"/>
          </rPr>
          <t xml:space="preserve">TREAT:
</t>
        </r>
        <r>
          <rPr>
            <sz val="9"/>
            <color indexed="81"/>
            <rFont val="Tahoma"/>
            <family val="2"/>
          </rPr>
          <t xml:space="preserve">Change the condition and restore the service user to good, or improved health.
</t>
        </r>
        <r>
          <rPr>
            <b/>
            <sz val="9"/>
            <color indexed="81"/>
            <rFont val="Tahoma"/>
            <family val="2"/>
          </rPr>
          <t>RELIEVE:</t>
        </r>
        <r>
          <rPr>
            <sz val="9"/>
            <color indexed="81"/>
            <rFont val="Tahoma"/>
            <family val="2"/>
          </rPr>
          <t xml:space="preserve">
Assist service users by abating symptoms of ill-health and distress and meet support needs</t>
        </r>
      </text>
    </comment>
    <comment ref="K18" authorId="0" shapeId="0" xr:uid="{BC366D59-10D6-4B66-A322-C1D58B4DCB55}">
      <text>
        <r>
          <rPr>
            <b/>
            <sz val="9"/>
            <color indexed="81"/>
            <rFont val="Tahoma"/>
            <family val="2"/>
          </rPr>
          <t xml:space="preserve">TREAT:
</t>
        </r>
        <r>
          <rPr>
            <sz val="9"/>
            <color indexed="81"/>
            <rFont val="Tahoma"/>
            <family val="2"/>
          </rPr>
          <t xml:space="preserve">Change the condition and restore the service user to good, or improved health.
</t>
        </r>
        <r>
          <rPr>
            <b/>
            <sz val="9"/>
            <color indexed="81"/>
            <rFont val="Tahoma"/>
            <family val="2"/>
          </rPr>
          <t>RELIEVE:</t>
        </r>
        <r>
          <rPr>
            <sz val="9"/>
            <color indexed="81"/>
            <rFont val="Tahoma"/>
            <family val="2"/>
          </rPr>
          <t xml:space="preserve">
Assist service users by abating symptoms of ill-health and distress and meet support needs</t>
        </r>
      </text>
    </comment>
    <comment ref="B19" authorId="0" shapeId="0" xr:uid="{8827975D-D9E2-4C54-A4DF-96957B11F656}">
      <text>
        <r>
          <rPr>
            <b/>
            <sz val="9"/>
            <color indexed="81"/>
            <rFont val="Tahoma"/>
            <family val="2"/>
          </rPr>
          <t xml:space="preserve">LINK:
</t>
        </r>
        <r>
          <rPr>
            <sz val="9"/>
            <color indexed="81"/>
            <rFont val="Tahoma"/>
            <family val="2"/>
          </rPr>
          <t>Connect different sectors, services, workforces and their skills around a holistic understanding of the needs of the service user.</t>
        </r>
      </text>
    </comment>
    <comment ref="K19" authorId="0" shapeId="0" xr:uid="{DA0CFCC8-C210-419E-AD75-9D8097B71AF5}">
      <text>
        <r>
          <rPr>
            <b/>
            <sz val="9"/>
            <color indexed="81"/>
            <rFont val="Tahoma"/>
            <family val="2"/>
          </rPr>
          <t xml:space="preserve">LINK:
</t>
        </r>
        <r>
          <rPr>
            <sz val="9"/>
            <color indexed="81"/>
            <rFont val="Tahoma"/>
            <family val="2"/>
          </rPr>
          <t>Connect different sectors, services, workforces and their skills around a holistic understanding of the needs of the service user.</t>
        </r>
      </text>
    </comment>
    <comment ref="C27" authorId="0" shapeId="0" xr:uid="{10C162F9-DAC6-4ACE-86B7-5491D8C655D6}">
      <text>
        <r>
          <rPr>
            <b/>
            <sz val="9"/>
            <color indexed="81"/>
            <rFont val="Tahoma"/>
            <family val="2"/>
          </rPr>
          <t>GROUP A:</t>
        </r>
        <r>
          <rPr>
            <sz val="9"/>
            <color indexed="81"/>
            <rFont val="Tahoma"/>
            <family val="2"/>
          </rPr>
          <t xml:space="preserve">
Requires no training at all and generally will not involve complex technology.</t>
        </r>
      </text>
    </comment>
    <comment ref="D27" authorId="0" shapeId="0" xr:uid="{9AD88739-3DA0-42D1-866B-520E8EE01346}">
      <text>
        <r>
          <rPr>
            <b/>
            <sz val="9"/>
            <color indexed="81"/>
            <rFont val="Tahoma"/>
            <family val="2"/>
          </rPr>
          <t>GROUP B:</t>
        </r>
        <r>
          <rPr>
            <sz val="9"/>
            <color indexed="81"/>
            <rFont val="Tahoma"/>
            <family val="2"/>
          </rPr>
          <t xml:space="preserve">
Requires some training, induction or education of up to a year, or substantial experience of around five years in the role.</t>
        </r>
      </text>
    </comment>
    <comment ref="E27" authorId="0" shapeId="0" xr:uid="{B219BF51-5320-4405-ABBF-E295FAA64391}">
      <text>
        <r>
          <rPr>
            <b/>
            <sz val="9"/>
            <color indexed="81"/>
            <rFont val="Tahoma"/>
            <family val="2"/>
          </rPr>
          <t>GROUP C:</t>
        </r>
        <r>
          <rPr>
            <sz val="9"/>
            <color indexed="81"/>
            <rFont val="Tahoma"/>
            <family val="2"/>
          </rPr>
          <t xml:space="preserve">
Requires three to four years of formal education and are associated
with junior non-medical professions (e.g. occupational therapists).</t>
        </r>
      </text>
    </comment>
    <comment ref="F27" authorId="0" shapeId="0" xr:uid="{7FB8F7CF-D63F-4D56-B73F-2386CC93F99C}">
      <text>
        <r>
          <rPr>
            <b/>
            <sz val="9"/>
            <color indexed="81"/>
            <rFont val="Tahoma"/>
            <family val="2"/>
          </rPr>
          <t>GROUP D:</t>
        </r>
        <r>
          <rPr>
            <sz val="9"/>
            <color indexed="81"/>
            <rFont val="Tahoma"/>
            <family val="2"/>
          </rPr>
          <t xml:space="preserve">
Requires either four to six years of formal education or three to four years education together with substantial experience. These activities are associated with technical or scientific professionals such as pharmacists or senior non-medical professions (Agenda for Change bands 7-8).</t>
        </r>
      </text>
    </comment>
    <comment ref="G27" authorId="0" shapeId="0" xr:uid="{3F8A80D4-8CD7-4732-8958-41CE128B9F13}">
      <text>
        <r>
          <rPr>
            <b/>
            <sz val="9"/>
            <color indexed="81"/>
            <rFont val="Tahoma"/>
            <family val="2"/>
          </rPr>
          <t xml:space="preserve">GROUP E:
</t>
        </r>
        <r>
          <rPr>
            <sz val="9"/>
            <color indexed="81"/>
            <rFont val="Tahoma"/>
            <family val="2"/>
          </rPr>
          <t>Requires over six years of formal education and are generally associated with junior medical and dental staff.</t>
        </r>
      </text>
    </comment>
    <comment ref="H27" authorId="0" shapeId="0" xr:uid="{4C16244A-77CB-4098-A660-6207F592BB06}">
      <text>
        <r>
          <rPr>
            <b/>
            <sz val="9"/>
            <color indexed="81"/>
            <rFont val="Tahoma"/>
            <family val="2"/>
          </rPr>
          <t>GROUP F:</t>
        </r>
        <r>
          <rPr>
            <sz val="9"/>
            <color indexed="81"/>
            <rFont val="Tahoma"/>
            <family val="2"/>
          </rPr>
          <t xml:space="preserve">
Requires over six years of formal education and significant experience in post. These skills are associated with consultant and associate specialist grade medical and dental staff.</t>
        </r>
      </text>
    </comment>
    <comment ref="L27" authorId="0" shapeId="0" xr:uid="{A36593CE-993D-46F8-9E1A-5A6695AEF92A}">
      <text>
        <r>
          <rPr>
            <b/>
            <sz val="9"/>
            <color indexed="81"/>
            <rFont val="Tahoma"/>
            <family val="2"/>
          </rPr>
          <t>GROUP A:</t>
        </r>
        <r>
          <rPr>
            <sz val="9"/>
            <color indexed="81"/>
            <rFont val="Tahoma"/>
            <family val="2"/>
          </rPr>
          <t xml:space="preserve">
Requires no training at all and generally will not involve complex technology.</t>
        </r>
      </text>
    </comment>
    <comment ref="M27" authorId="0" shapeId="0" xr:uid="{DE1CC57E-B167-4179-9A79-5A5F5699DC95}">
      <text>
        <r>
          <rPr>
            <b/>
            <sz val="9"/>
            <color indexed="81"/>
            <rFont val="Tahoma"/>
            <family val="2"/>
          </rPr>
          <t>GROUP B:</t>
        </r>
        <r>
          <rPr>
            <sz val="9"/>
            <color indexed="81"/>
            <rFont val="Tahoma"/>
            <family val="2"/>
          </rPr>
          <t xml:space="preserve">
Requires some training, induction or education of up to a year, or substantial experience of around five years in the role.</t>
        </r>
      </text>
    </comment>
    <comment ref="N27" authorId="0" shapeId="0" xr:uid="{681E16D5-30FB-4D97-8EE7-94C3DFEDBCAA}">
      <text>
        <r>
          <rPr>
            <b/>
            <sz val="9"/>
            <color indexed="81"/>
            <rFont val="Tahoma"/>
            <family val="2"/>
          </rPr>
          <t>GROUP C:</t>
        </r>
        <r>
          <rPr>
            <sz val="9"/>
            <color indexed="81"/>
            <rFont val="Tahoma"/>
            <family val="2"/>
          </rPr>
          <t xml:space="preserve">
Requires three to four years of formal education and are associated
with junior non-medical professions (e.g. occupational therapists).</t>
        </r>
      </text>
    </comment>
    <comment ref="O27" authorId="0" shapeId="0" xr:uid="{3FB42D45-3CD0-4528-95CB-856D0589C9B1}">
      <text>
        <r>
          <rPr>
            <b/>
            <sz val="9"/>
            <color indexed="81"/>
            <rFont val="Tahoma"/>
            <family val="2"/>
          </rPr>
          <t>GROUP D:</t>
        </r>
        <r>
          <rPr>
            <sz val="9"/>
            <color indexed="81"/>
            <rFont val="Tahoma"/>
            <family val="2"/>
          </rPr>
          <t xml:space="preserve">
Requires either four to six years of formal education or three to four years education together with substantial experience. These activities are associated with technical or scientific professionals such as pharmacists or senior non-medical professions (Agenda for Change bands 7-8).</t>
        </r>
      </text>
    </comment>
    <comment ref="P27" authorId="0" shapeId="0" xr:uid="{DBC33046-92E5-4F60-AC61-AF43955198EF}">
      <text>
        <r>
          <rPr>
            <b/>
            <sz val="9"/>
            <color indexed="81"/>
            <rFont val="Tahoma"/>
            <family val="2"/>
          </rPr>
          <t xml:space="preserve">GROUP E:
</t>
        </r>
        <r>
          <rPr>
            <sz val="9"/>
            <color indexed="81"/>
            <rFont val="Tahoma"/>
            <family val="2"/>
          </rPr>
          <t>Requires over six years of formal education and are generally associated with junior medical and dental staff.</t>
        </r>
      </text>
    </comment>
    <comment ref="Q27" authorId="0" shapeId="0" xr:uid="{48B0F352-D8B4-46CA-AB9F-C673F1465076}">
      <text>
        <r>
          <rPr>
            <b/>
            <sz val="9"/>
            <color indexed="81"/>
            <rFont val="Tahoma"/>
            <family val="2"/>
          </rPr>
          <t>GROUP F:</t>
        </r>
        <r>
          <rPr>
            <sz val="9"/>
            <color indexed="81"/>
            <rFont val="Tahoma"/>
            <family val="2"/>
          </rPr>
          <t xml:space="preserve">
Requires over six years of formal education and significant experience in post. These skills are associated with consultant and associate specialist grade medical and dental staff.</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Richard Blackwell</author>
  </authors>
  <commentList>
    <comment ref="C5" authorId="0" shapeId="0" xr:uid="{6FB4231D-D928-4DB6-972D-E79674EE7486}">
      <text>
        <r>
          <rPr>
            <b/>
            <sz val="9"/>
            <color indexed="81"/>
            <rFont val="Tahoma"/>
            <family val="2"/>
          </rPr>
          <t>GROUP A:</t>
        </r>
        <r>
          <rPr>
            <sz val="9"/>
            <color indexed="81"/>
            <rFont val="Tahoma"/>
            <family val="2"/>
          </rPr>
          <t xml:space="preserve">
Requires no training at all and generally will not involve complex technology.</t>
        </r>
      </text>
    </comment>
    <comment ref="D5" authorId="0" shapeId="0" xr:uid="{4BB85A47-10C2-496F-AEE2-06AC91E6DF51}">
      <text>
        <r>
          <rPr>
            <b/>
            <sz val="9"/>
            <color indexed="81"/>
            <rFont val="Tahoma"/>
            <family val="2"/>
          </rPr>
          <t>GROUP B:</t>
        </r>
        <r>
          <rPr>
            <sz val="9"/>
            <color indexed="81"/>
            <rFont val="Tahoma"/>
            <family val="2"/>
          </rPr>
          <t xml:space="preserve">
Requires some training, induction or education of up to a year, or substantial experience of around five years in the role.</t>
        </r>
      </text>
    </comment>
    <comment ref="E5" authorId="0" shapeId="0" xr:uid="{2259FA82-F085-4B65-8C16-F2F5AB808278}">
      <text>
        <r>
          <rPr>
            <b/>
            <sz val="9"/>
            <color indexed="81"/>
            <rFont val="Tahoma"/>
            <family val="2"/>
          </rPr>
          <t>GROUP C:</t>
        </r>
        <r>
          <rPr>
            <sz val="9"/>
            <color indexed="81"/>
            <rFont val="Tahoma"/>
            <family val="2"/>
          </rPr>
          <t xml:space="preserve">
Requires three to four years of formal education and are associated
with junior non-medical professions (e.g. occupational therapists).</t>
        </r>
      </text>
    </comment>
    <comment ref="F5" authorId="0" shapeId="0" xr:uid="{EAEFA850-9E63-48FF-9CB9-BAB5684EC8BF}">
      <text>
        <r>
          <rPr>
            <b/>
            <sz val="9"/>
            <color indexed="81"/>
            <rFont val="Tahoma"/>
            <family val="2"/>
          </rPr>
          <t>GROUP D:</t>
        </r>
        <r>
          <rPr>
            <sz val="9"/>
            <color indexed="81"/>
            <rFont val="Tahoma"/>
            <family val="2"/>
          </rPr>
          <t xml:space="preserve">
Requires either four to six years of formal education or three to four years education together with substantial experience. These activities are associated with technical or scientific professionals such as pharmacists or senior non-medical professions (Agenda for Change bands 7-8).</t>
        </r>
      </text>
    </comment>
    <comment ref="G5" authorId="0" shapeId="0" xr:uid="{15E8738F-5A3F-41CB-A3DE-239458A5AE73}">
      <text>
        <r>
          <rPr>
            <b/>
            <sz val="9"/>
            <color indexed="81"/>
            <rFont val="Tahoma"/>
            <family val="2"/>
          </rPr>
          <t xml:space="preserve">GROUP E:
</t>
        </r>
        <r>
          <rPr>
            <sz val="9"/>
            <color indexed="81"/>
            <rFont val="Tahoma"/>
            <family val="2"/>
          </rPr>
          <t>Requires over six years of formal education and are generally associated with junior medical and dental staff.</t>
        </r>
      </text>
    </comment>
    <comment ref="H5" authorId="0" shapeId="0" xr:uid="{F8028B49-053F-40CC-922B-096CA1FBCDDA}">
      <text>
        <r>
          <rPr>
            <b/>
            <sz val="9"/>
            <color indexed="81"/>
            <rFont val="Tahoma"/>
            <family val="2"/>
          </rPr>
          <t>GROUP F:</t>
        </r>
        <r>
          <rPr>
            <sz val="9"/>
            <color indexed="81"/>
            <rFont val="Tahoma"/>
            <family val="2"/>
          </rPr>
          <t xml:space="preserve">
Requires over six years of formal education and significant experience in post. These skills are associated with consultant and associate specialist grade medical and dental staff.</t>
        </r>
      </text>
    </comment>
    <comment ref="L5" authorId="0" shapeId="0" xr:uid="{CE9E7EBD-355A-4266-9A1E-009DFD731102}">
      <text>
        <r>
          <rPr>
            <b/>
            <sz val="9"/>
            <color indexed="81"/>
            <rFont val="Tahoma"/>
            <family val="2"/>
          </rPr>
          <t>GROUP A:</t>
        </r>
        <r>
          <rPr>
            <sz val="9"/>
            <color indexed="81"/>
            <rFont val="Tahoma"/>
            <family val="2"/>
          </rPr>
          <t xml:space="preserve">
Requires no training at all and generally will not involve complex technology.</t>
        </r>
      </text>
    </comment>
    <comment ref="M5" authorId="0" shapeId="0" xr:uid="{C956A720-CBB7-48EC-814E-0DABD2A6ED66}">
      <text>
        <r>
          <rPr>
            <b/>
            <sz val="9"/>
            <color indexed="81"/>
            <rFont val="Tahoma"/>
            <family val="2"/>
          </rPr>
          <t>GROUP B:</t>
        </r>
        <r>
          <rPr>
            <sz val="9"/>
            <color indexed="81"/>
            <rFont val="Tahoma"/>
            <family val="2"/>
          </rPr>
          <t xml:space="preserve">
Requires some training, induction or education of up to a year, or substantial experience of around five years in the role.</t>
        </r>
      </text>
    </comment>
    <comment ref="N5" authorId="0" shapeId="0" xr:uid="{D6724ECA-FED2-47B2-BE8D-B90354C276FA}">
      <text>
        <r>
          <rPr>
            <b/>
            <sz val="9"/>
            <color indexed="81"/>
            <rFont val="Tahoma"/>
            <family val="2"/>
          </rPr>
          <t>GROUP C:</t>
        </r>
        <r>
          <rPr>
            <sz val="9"/>
            <color indexed="81"/>
            <rFont val="Tahoma"/>
            <family val="2"/>
          </rPr>
          <t xml:space="preserve">
Requires three to four years of formal education and are associated
with junior non-medical professions (e.g. occupational therapists).</t>
        </r>
      </text>
    </comment>
    <comment ref="O5" authorId="0" shapeId="0" xr:uid="{9FD97DB1-FDAC-4E7C-AF79-735987E1BAD4}">
      <text>
        <r>
          <rPr>
            <b/>
            <sz val="9"/>
            <color indexed="81"/>
            <rFont val="Tahoma"/>
            <family val="2"/>
          </rPr>
          <t>GROUP D:</t>
        </r>
        <r>
          <rPr>
            <sz val="9"/>
            <color indexed="81"/>
            <rFont val="Tahoma"/>
            <family val="2"/>
          </rPr>
          <t xml:space="preserve">
Requires either four to six years of formal education or three to four years education together with substantial experience. These activities are associated with technical or scientific professionals such as pharmacists or senior non-medical professions (Agenda for Change bands 7-8).</t>
        </r>
      </text>
    </comment>
    <comment ref="P5" authorId="0" shapeId="0" xr:uid="{87C4FD87-C8D4-4754-9C14-7579DF15D285}">
      <text>
        <r>
          <rPr>
            <b/>
            <sz val="9"/>
            <color indexed="81"/>
            <rFont val="Tahoma"/>
            <family val="2"/>
          </rPr>
          <t xml:space="preserve">GROUP E:
</t>
        </r>
        <r>
          <rPr>
            <sz val="9"/>
            <color indexed="81"/>
            <rFont val="Tahoma"/>
            <family val="2"/>
          </rPr>
          <t>Requires over six years of formal education and are generally associated with junior medical and dental staff.</t>
        </r>
      </text>
    </comment>
    <comment ref="Q5" authorId="0" shapeId="0" xr:uid="{4AD54C0F-6E71-4AA3-9B74-CA9F851D4184}">
      <text>
        <r>
          <rPr>
            <b/>
            <sz val="9"/>
            <color indexed="81"/>
            <rFont val="Tahoma"/>
            <family val="2"/>
          </rPr>
          <t>GROUP F:</t>
        </r>
        <r>
          <rPr>
            <sz val="9"/>
            <color indexed="81"/>
            <rFont val="Tahoma"/>
            <family val="2"/>
          </rPr>
          <t xml:space="preserve">
Requires over six years of formal education and significant experience in post. These skills are associated with consultant and associate specialist grade medical and dental staff.</t>
        </r>
      </text>
    </comment>
    <comment ref="U5" authorId="0" shapeId="0" xr:uid="{6078BBBB-7490-4D6F-AF9F-44FC96809D86}">
      <text>
        <r>
          <rPr>
            <b/>
            <sz val="9"/>
            <color indexed="81"/>
            <rFont val="Tahoma"/>
            <family val="2"/>
          </rPr>
          <t>GROUP A:</t>
        </r>
        <r>
          <rPr>
            <sz val="9"/>
            <color indexed="81"/>
            <rFont val="Tahoma"/>
            <family val="2"/>
          </rPr>
          <t xml:space="preserve">
Requires no training at all and generally will not involve complex technology.</t>
        </r>
      </text>
    </comment>
    <comment ref="V5" authorId="0" shapeId="0" xr:uid="{A3608F50-3B63-458D-AE97-8019398E281C}">
      <text>
        <r>
          <rPr>
            <b/>
            <sz val="9"/>
            <color indexed="81"/>
            <rFont val="Tahoma"/>
            <family val="2"/>
          </rPr>
          <t>GROUP B:</t>
        </r>
        <r>
          <rPr>
            <sz val="9"/>
            <color indexed="81"/>
            <rFont val="Tahoma"/>
            <family val="2"/>
          </rPr>
          <t xml:space="preserve">
Requires some training, induction or education of up to a year, or substantial experience of around five years in the role.</t>
        </r>
      </text>
    </comment>
    <comment ref="W5" authorId="0" shapeId="0" xr:uid="{37851253-B7C6-4E9D-8042-306E3BDC0250}">
      <text>
        <r>
          <rPr>
            <b/>
            <sz val="9"/>
            <color indexed="81"/>
            <rFont val="Tahoma"/>
            <family val="2"/>
          </rPr>
          <t>GROUP C:</t>
        </r>
        <r>
          <rPr>
            <sz val="9"/>
            <color indexed="81"/>
            <rFont val="Tahoma"/>
            <family val="2"/>
          </rPr>
          <t xml:space="preserve">
Requires three to four years of formal education and are associated
with junior non-medical professions (e.g. occupational therapists).</t>
        </r>
      </text>
    </comment>
    <comment ref="X5" authorId="0" shapeId="0" xr:uid="{8FE9BDE7-BA38-4736-9531-02C7E56A6368}">
      <text>
        <r>
          <rPr>
            <b/>
            <sz val="9"/>
            <color indexed="81"/>
            <rFont val="Tahoma"/>
            <family val="2"/>
          </rPr>
          <t>GROUP D:</t>
        </r>
        <r>
          <rPr>
            <sz val="9"/>
            <color indexed="81"/>
            <rFont val="Tahoma"/>
            <family val="2"/>
          </rPr>
          <t xml:space="preserve">
Requires either four to six years of formal education or three to four years education together with substantial experience. These activities are associated with technical or scientific professionals such as pharmacists or senior non-medical professions (Agenda for Change bands 7-8).</t>
        </r>
      </text>
    </comment>
    <comment ref="Y5" authorId="0" shapeId="0" xr:uid="{8584A3E4-9960-4C40-AAA8-7F29A496406E}">
      <text>
        <r>
          <rPr>
            <b/>
            <sz val="9"/>
            <color indexed="81"/>
            <rFont val="Tahoma"/>
            <family val="2"/>
          </rPr>
          <t xml:space="preserve">GROUP E:
</t>
        </r>
        <r>
          <rPr>
            <sz val="9"/>
            <color indexed="81"/>
            <rFont val="Tahoma"/>
            <family val="2"/>
          </rPr>
          <t>Requires over six years of formal education and are generally associated with junior medical and dental staff.</t>
        </r>
      </text>
    </comment>
    <comment ref="Z5" authorId="0" shapeId="0" xr:uid="{681C3063-7450-42A1-AACC-ACC17B59DC40}">
      <text>
        <r>
          <rPr>
            <b/>
            <sz val="9"/>
            <color indexed="81"/>
            <rFont val="Tahoma"/>
            <family val="2"/>
          </rPr>
          <t>GROUP F:</t>
        </r>
        <r>
          <rPr>
            <sz val="9"/>
            <color indexed="81"/>
            <rFont val="Tahoma"/>
            <family val="2"/>
          </rPr>
          <t xml:space="preserve">
Requires over six years of formal education and significant experience in post. These skills are associated with consultant and associate specialist grade medical and dental staff.</t>
        </r>
      </text>
    </comment>
    <comment ref="B6" authorId="0" shapeId="0" xr:uid="{A64FF42F-2E32-42BE-A5BF-C2A7AAEB9B7A}">
      <text>
        <r>
          <rPr>
            <b/>
            <sz val="9"/>
            <color indexed="81"/>
            <rFont val="Tahoma"/>
            <family val="2"/>
          </rPr>
          <t>PREVENT:</t>
        </r>
        <r>
          <rPr>
            <sz val="9"/>
            <color indexed="81"/>
            <rFont val="Tahoma"/>
            <family val="2"/>
          </rPr>
          <t xml:space="preserve">
Reduce the instance or incidence of ill health and demand for care.
</t>
        </r>
        <r>
          <rPr>
            <b/>
            <sz val="9"/>
            <color indexed="81"/>
            <rFont val="Tahoma"/>
            <family val="2"/>
          </rPr>
          <t>ENABLE:</t>
        </r>
        <r>
          <rPr>
            <sz val="9"/>
            <color indexed="81"/>
            <rFont val="Tahoma"/>
            <family val="2"/>
          </rPr>
          <t xml:space="preserve">
Increase the control and capacity service users have to improve their situation.
</t>
        </r>
        <r>
          <rPr>
            <b/>
            <sz val="9"/>
            <color indexed="81"/>
            <rFont val="Tahoma"/>
            <family val="2"/>
          </rPr>
          <t>REHABILITATE:</t>
        </r>
        <r>
          <rPr>
            <sz val="9"/>
            <color indexed="81"/>
            <rFont val="Tahoma"/>
            <family val="2"/>
          </rPr>
          <t xml:space="preserve">
Restore functionality, independence, articipation and even purpose of service user.</t>
        </r>
      </text>
    </comment>
    <comment ref="K6" authorId="0" shapeId="0" xr:uid="{3DC26E33-0EBD-4E07-AA04-5A5DE780821D}">
      <text>
        <r>
          <rPr>
            <b/>
            <sz val="9"/>
            <color indexed="81"/>
            <rFont val="Tahoma"/>
            <family val="2"/>
          </rPr>
          <t>PREVENT:</t>
        </r>
        <r>
          <rPr>
            <sz val="9"/>
            <color indexed="81"/>
            <rFont val="Tahoma"/>
            <family val="2"/>
          </rPr>
          <t xml:space="preserve">
Reduce the instance or incidence of ill health and demand for care.
</t>
        </r>
        <r>
          <rPr>
            <b/>
            <sz val="9"/>
            <color indexed="81"/>
            <rFont val="Tahoma"/>
            <family val="2"/>
          </rPr>
          <t>ENABLE:</t>
        </r>
        <r>
          <rPr>
            <sz val="9"/>
            <color indexed="81"/>
            <rFont val="Tahoma"/>
            <family val="2"/>
          </rPr>
          <t xml:space="preserve">
Increase the control and capacity service users have to improve their situation.
</t>
        </r>
        <r>
          <rPr>
            <b/>
            <sz val="9"/>
            <color indexed="81"/>
            <rFont val="Tahoma"/>
            <family val="2"/>
          </rPr>
          <t>REHABILITATE:</t>
        </r>
        <r>
          <rPr>
            <sz val="9"/>
            <color indexed="81"/>
            <rFont val="Tahoma"/>
            <family val="2"/>
          </rPr>
          <t xml:space="preserve">
Restore functionality, independence, articipation and even purpose of service user.</t>
        </r>
      </text>
    </comment>
    <comment ref="T6" authorId="0" shapeId="0" xr:uid="{9293D682-5071-4251-9942-6D3D8531207B}">
      <text>
        <r>
          <rPr>
            <b/>
            <sz val="9"/>
            <color indexed="81"/>
            <rFont val="Tahoma"/>
            <family val="2"/>
          </rPr>
          <t>PREVENT:</t>
        </r>
        <r>
          <rPr>
            <sz val="9"/>
            <color indexed="81"/>
            <rFont val="Tahoma"/>
            <family val="2"/>
          </rPr>
          <t xml:space="preserve">
Reduce the instance or incidence of ill health and demand for care.
</t>
        </r>
        <r>
          <rPr>
            <b/>
            <sz val="9"/>
            <color indexed="81"/>
            <rFont val="Tahoma"/>
            <family val="2"/>
          </rPr>
          <t>ENABLE:</t>
        </r>
        <r>
          <rPr>
            <sz val="9"/>
            <color indexed="81"/>
            <rFont val="Tahoma"/>
            <family val="2"/>
          </rPr>
          <t xml:space="preserve">
Increase the control and capacity service users have to improve their situation.
</t>
        </r>
        <r>
          <rPr>
            <b/>
            <sz val="9"/>
            <color indexed="81"/>
            <rFont val="Tahoma"/>
            <family val="2"/>
          </rPr>
          <t>REHABILITATE:</t>
        </r>
        <r>
          <rPr>
            <sz val="9"/>
            <color indexed="81"/>
            <rFont val="Tahoma"/>
            <family val="2"/>
          </rPr>
          <t xml:space="preserve">
Restore functionality, independence, articipation and even purpose of service user.</t>
        </r>
      </text>
    </comment>
    <comment ref="B7" authorId="0" shapeId="0" xr:uid="{2CB1E7E6-D294-415B-B7E6-9B993F81D9B4}">
      <text>
        <r>
          <rPr>
            <b/>
            <sz val="9"/>
            <color indexed="81"/>
            <rFont val="Tahoma"/>
            <family val="2"/>
          </rPr>
          <t xml:space="preserve">ASSESS:
</t>
        </r>
        <r>
          <rPr>
            <sz val="9"/>
            <color indexed="81"/>
            <rFont val="Tahoma"/>
            <family val="2"/>
          </rPr>
          <t xml:space="preserve">Identify and understand a presenting problem, including evaluations.
</t>
        </r>
        <r>
          <rPr>
            <b/>
            <sz val="9"/>
            <color indexed="81"/>
            <rFont val="Tahoma"/>
            <family val="2"/>
          </rPr>
          <t>PLAN:</t>
        </r>
        <r>
          <rPr>
            <sz val="9"/>
            <color indexed="81"/>
            <rFont val="Tahoma"/>
            <family val="2"/>
          </rPr>
          <t xml:space="preserve">
Define the package of skills required to meet service user needs.</t>
        </r>
      </text>
    </comment>
    <comment ref="K7" authorId="0" shapeId="0" xr:uid="{5D8F9EFB-8493-4009-BC54-0CBA0E4CB3C5}">
      <text>
        <r>
          <rPr>
            <b/>
            <sz val="9"/>
            <color indexed="81"/>
            <rFont val="Tahoma"/>
            <family val="2"/>
          </rPr>
          <t xml:space="preserve">ASSESS:
</t>
        </r>
        <r>
          <rPr>
            <sz val="9"/>
            <color indexed="81"/>
            <rFont val="Tahoma"/>
            <family val="2"/>
          </rPr>
          <t xml:space="preserve">Identify and understand a presenting problem, including evaluations.
</t>
        </r>
        <r>
          <rPr>
            <b/>
            <sz val="9"/>
            <color indexed="81"/>
            <rFont val="Tahoma"/>
            <family val="2"/>
          </rPr>
          <t>PLAN:</t>
        </r>
        <r>
          <rPr>
            <sz val="9"/>
            <color indexed="81"/>
            <rFont val="Tahoma"/>
            <family val="2"/>
          </rPr>
          <t xml:space="preserve">
Define the package of skills required to meet service user needs.</t>
        </r>
      </text>
    </comment>
    <comment ref="T7" authorId="0" shapeId="0" xr:uid="{2CAAC78B-0C14-43D1-B74A-0B174ECF52A0}">
      <text>
        <r>
          <rPr>
            <b/>
            <sz val="9"/>
            <color indexed="81"/>
            <rFont val="Tahoma"/>
            <family val="2"/>
          </rPr>
          <t xml:space="preserve">ASSESS:
</t>
        </r>
        <r>
          <rPr>
            <sz val="9"/>
            <color indexed="81"/>
            <rFont val="Tahoma"/>
            <family val="2"/>
          </rPr>
          <t xml:space="preserve">Identify and understand a presenting problem, including evaluations.
</t>
        </r>
        <r>
          <rPr>
            <b/>
            <sz val="9"/>
            <color indexed="81"/>
            <rFont val="Tahoma"/>
            <family val="2"/>
          </rPr>
          <t>PLAN:</t>
        </r>
        <r>
          <rPr>
            <sz val="9"/>
            <color indexed="81"/>
            <rFont val="Tahoma"/>
            <family val="2"/>
          </rPr>
          <t xml:space="preserve">
Define the package of skills required to meet service user needs.</t>
        </r>
      </text>
    </comment>
    <comment ref="B8" authorId="0" shapeId="0" xr:uid="{88578B31-8876-46DA-8708-D2128A547BB6}">
      <text>
        <r>
          <rPr>
            <b/>
            <sz val="9"/>
            <color indexed="81"/>
            <rFont val="Tahoma"/>
            <family val="2"/>
          </rPr>
          <t xml:space="preserve">TREAT:
</t>
        </r>
        <r>
          <rPr>
            <sz val="9"/>
            <color indexed="81"/>
            <rFont val="Tahoma"/>
            <family val="2"/>
          </rPr>
          <t xml:space="preserve">Change the condition and restore the service user to good, or improved health.
</t>
        </r>
        <r>
          <rPr>
            <b/>
            <sz val="9"/>
            <color indexed="81"/>
            <rFont val="Tahoma"/>
            <family val="2"/>
          </rPr>
          <t>RELIEVE:</t>
        </r>
        <r>
          <rPr>
            <sz val="9"/>
            <color indexed="81"/>
            <rFont val="Tahoma"/>
            <family val="2"/>
          </rPr>
          <t xml:space="preserve">
Assist service users by abating symptoms of ill-health and distress and meet support needs</t>
        </r>
      </text>
    </comment>
    <comment ref="K8" authorId="0" shapeId="0" xr:uid="{DA20C022-507D-483E-82A5-71121D2C331A}">
      <text>
        <r>
          <rPr>
            <b/>
            <sz val="9"/>
            <color indexed="81"/>
            <rFont val="Tahoma"/>
            <family val="2"/>
          </rPr>
          <t xml:space="preserve">TREAT:
</t>
        </r>
        <r>
          <rPr>
            <sz val="9"/>
            <color indexed="81"/>
            <rFont val="Tahoma"/>
            <family val="2"/>
          </rPr>
          <t xml:space="preserve">Change the condition and restore the service user to good, or improved health.
</t>
        </r>
        <r>
          <rPr>
            <b/>
            <sz val="9"/>
            <color indexed="81"/>
            <rFont val="Tahoma"/>
            <family val="2"/>
          </rPr>
          <t>RELIEVE:</t>
        </r>
        <r>
          <rPr>
            <sz val="9"/>
            <color indexed="81"/>
            <rFont val="Tahoma"/>
            <family val="2"/>
          </rPr>
          <t xml:space="preserve">
Assist service users by abating symptoms of ill-health and distress and meet support needs</t>
        </r>
      </text>
    </comment>
    <comment ref="T8" authorId="0" shapeId="0" xr:uid="{98F75E39-C090-4191-9AEB-0987DFE8D4D4}">
      <text>
        <r>
          <rPr>
            <b/>
            <sz val="9"/>
            <color indexed="81"/>
            <rFont val="Tahoma"/>
            <family val="2"/>
          </rPr>
          <t xml:space="preserve">TREAT:
</t>
        </r>
        <r>
          <rPr>
            <sz val="9"/>
            <color indexed="81"/>
            <rFont val="Tahoma"/>
            <family val="2"/>
          </rPr>
          <t xml:space="preserve">Change the condition and restore the service user to good, or improved health.
</t>
        </r>
        <r>
          <rPr>
            <b/>
            <sz val="9"/>
            <color indexed="81"/>
            <rFont val="Tahoma"/>
            <family val="2"/>
          </rPr>
          <t>RELIEVE:</t>
        </r>
        <r>
          <rPr>
            <sz val="9"/>
            <color indexed="81"/>
            <rFont val="Tahoma"/>
            <family val="2"/>
          </rPr>
          <t xml:space="preserve">
Assist service users by abating symptoms of ill-health and distress and meet support needs</t>
        </r>
      </text>
    </comment>
    <comment ref="B9" authorId="0" shapeId="0" xr:uid="{52F229BB-A27F-4169-9347-67E1919B3843}">
      <text>
        <r>
          <rPr>
            <b/>
            <sz val="9"/>
            <color indexed="81"/>
            <rFont val="Tahoma"/>
            <family val="2"/>
          </rPr>
          <t xml:space="preserve">LINK:
</t>
        </r>
        <r>
          <rPr>
            <sz val="9"/>
            <color indexed="81"/>
            <rFont val="Tahoma"/>
            <family val="2"/>
          </rPr>
          <t>Connect different sectors, services, workforces and their skills around a holistic understanding of the needs of the service user.</t>
        </r>
      </text>
    </comment>
    <comment ref="K9" authorId="0" shapeId="0" xr:uid="{9D23F143-4DE7-45D7-BAF5-09771A11D5ED}">
      <text>
        <r>
          <rPr>
            <b/>
            <sz val="9"/>
            <color indexed="81"/>
            <rFont val="Tahoma"/>
            <family val="2"/>
          </rPr>
          <t xml:space="preserve">LINK:
</t>
        </r>
        <r>
          <rPr>
            <sz val="9"/>
            <color indexed="81"/>
            <rFont val="Tahoma"/>
            <family val="2"/>
          </rPr>
          <t>Connect different sectors, services, workforces and their skills around a holistic understanding of the needs of the service user.</t>
        </r>
      </text>
    </comment>
    <comment ref="T9" authorId="0" shapeId="0" xr:uid="{0D4FE10C-51FC-4823-B19D-5945DC8C5C04}">
      <text>
        <r>
          <rPr>
            <b/>
            <sz val="9"/>
            <color indexed="81"/>
            <rFont val="Tahoma"/>
            <family val="2"/>
          </rPr>
          <t xml:space="preserve">LINK:
</t>
        </r>
        <r>
          <rPr>
            <sz val="9"/>
            <color indexed="81"/>
            <rFont val="Tahoma"/>
            <family val="2"/>
          </rPr>
          <t>Connect different sectors, services, workforces and their skills around a holistic understanding of the needs of the service user.</t>
        </r>
      </text>
    </comment>
    <comment ref="C15" authorId="0" shapeId="0" xr:uid="{BD89B738-8C6C-48C1-A535-6193980E846E}">
      <text>
        <r>
          <rPr>
            <b/>
            <sz val="9"/>
            <color indexed="81"/>
            <rFont val="Tahoma"/>
            <family val="2"/>
          </rPr>
          <t>GROUP A:</t>
        </r>
        <r>
          <rPr>
            <sz val="9"/>
            <color indexed="81"/>
            <rFont val="Tahoma"/>
            <family val="2"/>
          </rPr>
          <t xml:space="preserve">
Requires no training at all and generally will not involve complex technology.</t>
        </r>
      </text>
    </comment>
    <comment ref="D15" authorId="0" shapeId="0" xr:uid="{963073FA-3B0D-4C49-AC86-9C88FDAE2796}">
      <text>
        <r>
          <rPr>
            <b/>
            <sz val="9"/>
            <color indexed="81"/>
            <rFont val="Tahoma"/>
            <family val="2"/>
          </rPr>
          <t>GROUP B:</t>
        </r>
        <r>
          <rPr>
            <sz val="9"/>
            <color indexed="81"/>
            <rFont val="Tahoma"/>
            <family val="2"/>
          </rPr>
          <t xml:space="preserve">
Requires some training, induction or education of up to a year, or substantial experience of around five years in the role.</t>
        </r>
      </text>
    </comment>
    <comment ref="E15" authorId="0" shapeId="0" xr:uid="{97416A26-AFB8-4775-BECF-ECBA83691F91}">
      <text>
        <r>
          <rPr>
            <b/>
            <sz val="9"/>
            <color indexed="81"/>
            <rFont val="Tahoma"/>
            <family val="2"/>
          </rPr>
          <t>GROUP C:</t>
        </r>
        <r>
          <rPr>
            <sz val="9"/>
            <color indexed="81"/>
            <rFont val="Tahoma"/>
            <family val="2"/>
          </rPr>
          <t xml:space="preserve">
Requires three to four years of formal education and are associated
with junior non-medical professions (e.g. occupational therapists).</t>
        </r>
      </text>
    </comment>
    <comment ref="F15" authorId="0" shapeId="0" xr:uid="{82EDB6D5-6BFB-4402-B026-4D6DBA85276B}">
      <text>
        <r>
          <rPr>
            <b/>
            <sz val="9"/>
            <color indexed="81"/>
            <rFont val="Tahoma"/>
            <family val="2"/>
          </rPr>
          <t>GROUP D:</t>
        </r>
        <r>
          <rPr>
            <sz val="9"/>
            <color indexed="81"/>
            <rFont val="Tahoma"/>
            <family val="2"/>
          </rPr>
          <t xml:space="preserve">
Requires either four to six years of formal education or three to four years education together with substantial experience. These activities are associated with technical or scientific professionals such as pharmacists or senior non-medical professions (Agenda for Change bands 7-8).</t>
        </r>
      </text>
    </comment>
    <comment ref="G15" authorId="0" shapeId="0" xr:uid="{1F48BE1F-F477-4072-B50C-2B69B0A0B03A}">
      <text>
        <r>
          <rPr>
            <b/>
            <sz val="9"/>
            <color indexed="81"/>
            <rFont val="Tahoma"/>
            <family val="2"/>
          </rPr>
          <t xml:space="preserve">GROUP E:
</t>
        </r>
        <r>
          <rPr>
            <sz val="9"/>
            <color indexed="81"/>
            <rFont val="Tahoma"/>
            <family val="2"/>
          </rPr>
          <t>Requires over six years of formal education and are generally associated with junior medical and dental staff.</t>
        </r>
      </text>
    </comment>
    <comment ref="H15" authorId="0" shapeId="0" xr:uid="{2AB64AA9-8809-45D4-826A-31FFFD09AB78}">
      <text>
        <r>
          <rPr>
            <b/>
            <sz val="9"/>
            <color indexed="81"/>
            <rFont val="Tahoma"/>
            <family val="2"/>
          </rPr>
          <t>GROUP F:</t>
        </r>
        <r>
          <rPr>
            <sz val="9"/>
            <color indexed="81"/>
            <rFont val="Tahoma"/>
            <family val="2"/>
          </rPr>
          <t xml:space="preserve">
Requires over six years of formal education and significant experience in post. These skills are associated with consultant and associate specialist grade medical and dental staff.</t>
        </r>
      </text>
    </comment>
    <comment ref="L15" authorId="0" shapeId="0" xr:uid="{95822605-0B8A-4D34-9E75-ABF04BA4E94B}">
      <text>
        <r>
          <rPr>
            <b/>
            <sz val="9"/>
            <color indexed="81"/>
            <rFont val="Tahoma"/>
            <family val="2"/>
          </rPr>
          <t>GROUP A:</t>
        </r>
        <r>
          <rPr>
            <sz val="9"/>
            <color indexed="81"/>
            <rFont val="Tahoma"/>
            <family val="2"/>
          </rPr>
          <t xml:space="preserve">
Requires no training at all and generally will not involve complex technology.</t>
        </r>
      </text>
    </comment>
    <comment ref="M15" authorId="0" shapeId="0" xr:uid="{3F4E9606-E1A2-447F-A8DC-3D671C793C5B}">
      <text>
        <r>
          <rPr>
            <b/>
            <sz val="9"/>
            <color indexed="81"/>
            <rFont val="Tahoma"/>
            <family val="2"/>
          </rPr>
          <t>GROUP B:</t>
        </r>
        <r>
          <rPr>
            <sz val="9"/>
            <color indexed="81"/>
            <rFont val="Tahoma"/>
            <family val="2"/>
          </rPr>
          <t xml:space="preserve">
Requires some training, induction or education of up to a year, or substantial experience of around five years in the role.</t>
        </r>
      </text>
    </comment>
    <comment ref="N15" authorId="0" shapeId="0" xr:uid="{E99F973E-1F66-4D4B-ABA9-20FD16E3C9F8}">
      <text>
        <r>
          <rPr>
            <b/>
            <sz val="9"/>
            <color indexed="81"/>
            <rFont val="Tahoma"/>
            <family val="2"/>
          </rPr>
          <t>GROUP C:</t>
        </r>
        <r>
          <rPr>
            <sz val="9"/>
            <color indexed="81"/>
            <rFont val="Tahoma"/>
            <family val="2"/>
          </rPr>
          <t xml:space="preserve">
Requires three to four years of formal education and are associated
with junior non-medical professions (e.g. occupational therapists).</t>
        </r>
      </text>
    </comment>
    <comment ref="O15" authorId="0" shapeId="0" xr:uid="{78FDFF93-8153-47CE-92E4-1286A64E7C52}">
      <text>
        <r>
          <rPr>
            <b/>
            <sz val="9"/>
            <color indexed="81"/>
            <rFont val="Tahoma"/>
            <family val="2"/>
          </rPr>
          <t>GROUP D:</t>
        </r>
        <r>
          <rPr>
            <sz val="9"/>
            <color indexed="81"/>
            <rFont val="Tahoma"/>
            <family val="2"/>
          </rPr>
          <t xml:space="preserve">
Requires either four to six years of formal education or three to four years education together with substantial experience. These activities are associated with technical or scientific professionals such as pharmacists or senior non-medical professions (Agenda for Change bands 7-8).</t>
        </r>
      </text>
    </comment>
    <comment ref="P15" authorId="0" shapeId="0" xr:uid="{ABD31C37-B2F1-42B5-9A3E-17FD7900DD05}">
      <text>
        <r>
          <rPr>
            <b/>
            <sz val="9"/>
            <color indexed="81"/>
            <rFont val="Tahoma"/>
            <family val="2"/>
          </rPr>
          <t xml:space="preserve">GROUP E:
</t>
        </r>
        <r>
          <rPr>
            <sz val="9"/>
            <color indexed="81"/>
            <rFont val="Tahoma"/>
            <family val="2"/>
          </rPr>
          <t>Requires over six years of formal education and are generally associated with junior medical and dental staff.</t>
        </r>
      </text>
    </comment>
    <comment ref="Q15" authorId="0" shapeId="0" xr:uid="{FD655D2F-F411-457F-BE94-61FDE996FE3C}">
      <text>
        <r>
          <rPr>
            <b/>
            <sz val="9"/>
            <color indexed="81"/>
            <rFont val="Tahoma"/>
            <family val="2"/>
          </rPr>
          <t>GROUP F:</t>
        </r>
        <r>
          <rPr>
            <sz val="9"/>
            <color indexed="81"/>
            <rFont val="Tahoma"/>
            <family val="2"/>
          </rPr>
          <t xml:space="preserve">
Requires over six years of formal education and significant experience in post. These skills are associated with consultant and associate specialist grade medical and dental staff.</t>
        </r>
      </text>
    </comment>
    <comment ref="B16" authorId="0" shapeId="0" xr:uid="{F724A3DE-DED2-4D96-B880-A8E7F028A449}">
      <text>
        <r>
          <rPr>
            <b/>
            <sz val="9"/>
            <color indexed="81"/>
            <rFont val="Tahoma"/>
            <family val="2"/>
          </rPr>
          <t>PREVENT:</t>
        </r>
        <r>
          <rPr>
            <sz val="9"/>
            <color indexed="81"/>
            <rFont val="Tahoma"/>
            <family val="2"/>
          </rPr>
          <t xml:space="preserve">
Reduce the instance or incidence of ill health and demand for care.
</t>
        </r>
        <r>
          <rPr>
            <b/>
            <sz val="9"/>
            <color indexed="81"/>
            <rFont val="Tahoma"/>
            <family val="2"/>
          </rPr>
          <t>ENABLE:</t>
        </r>
        <r>
          <rPr>
            <sz val="9"/>
            <color indexed="81"/>
            <rFont val="Tahoma"/>
            <family val="2"/>
          </rPr>
          <t xml:space="preserve">
Increase the control and capacity service users have to improve their situation.
</t>
        </r>
        <r>
          <rPr>
            <b/>
            <sz val="9"/>
            <color indexed="81"/>
            <rFont val="Tahoma"/>
            <family val="2"/>
          </rPr>
          <t>REHABILITATE:</t>
        </r>
        <r>
          <rPr>
            <sz val="9"/>
            <color indexed="81"/>
            <rFont val="Tahoma"/>
            <family val="2"/>
          </rPr>
          <t xml:space="preserve">
Restore functionality, independence, articipation and even purpose of service user.</t>
        </r>
      </text>
    </comment>
    <comment ref="K16" authorId="0" shapeId="0" xr:uid="{32428182-C59F-467C-B0DD-5E983DF25A00}">
      <text>
        <r>
          <rPr>
            <b/>
            <sz val="9"/>
            <color indexed="81"/>
            <rFont val="Tahoma"/>
            <family val="2"/>
          </rPr>
          <t>PREVENT:</t>
        </r>
        <r>
          <rPr>
            <sz val="9"/>
            <color indexed="81"/>
            <rFont val="Tahoma"/>
            <family val="2"/>
          </rPr>
          <t xml:space="preserve">
Reduce the instance or incidence of ill health and demand for care.
</t>
        </r>
        <r>
          <rPr>
            <b/>
            <sz val="9"/>
            <color indexed="81"/>
            <rFont val="Tahoma"/>
            <family val="2"/>
          </rPr>
          <t>ENABLE:</t>
        </r>
        <r>
          <rPr>
            <sz val="9"/>
            <color indexed="81"/>
            <rFont val="Tahoma"/>
            <family val="2"/>
          </rPr>
          <t xml:space="preserve">
Increase the control and capacity service users have to improve their situation.
</t>
        </r>
        <r>
          <rPr>
            <b/>
            <sz val="9"/>
            <color indexed="81"/>
            <rFont val="Tahoma"/>
            <family val="2"/>
          </rPr>
          <t>REHABILITATE:</t>
        </r>
        <r>
          <rPr>
            <sz val="9"/>
            <color indexed="81"/>
            <rFont val="Tahoma"/>
            <family val="2"/>
          </rPr>
          <t xml:space="preserve">
Restore functionality, independence, articipation and even purpose of service user.</t>
        </r>
      </text>
    </comment>
    <comment ref="B17" authorId="0" shapeId="0" xr:uid="{4B8B39E6-B546-4162-BD0D-A2E83B8D1C17}">
      <text>
        <r>
          <rPr>
            <b/>
            <sz val="9"/>
            <color indexed="81"/>
            <rFont val="Tahoma"/>
            <family val="2"/>
          </rPr>
          <t xml:space="preserve">ASSESS:
</t>
        </r>
        <r>
          <rPr>
            <sz val="9"/>
            <color indexed="81"/>
            <rFont val="Tahoma"/>
            <family val="2"/>
          </rPr>
          <t xml:space="preserve">Identify and understand a presenting problem, including evaluations.
</t>
        </r>
        <r>
          <rPr>
            <b/>
            <sz val="9"/>
            <color indexed="81"/>
            <rFont val="Tahoma"/>
            <family val="2"/>
          </rPr>
          <t>PLAN:</t>
        </r>
        <r>
          <rPr>
            <sz val="9"/>
            <color indexed="81"/>
            <rFont val="Tahoma"/>
            <family val="2"/>
          </rPr>
          <t xml:space="preserve">
Define the package of skills required to meet service user needs.</t>
        </r>
      </text>
    </comment>
    <comment ref="K17" authorId="0" shapeId="0" xr:uid="{B46AD581-2692-4A3F-BBC6-110ED477C322}">
      <text>
        <r>
          <rPr>
            <b/>
            <sz val="9"/>
            <color indexed="81"/>
            <rFont val="Tahoma"/>
            <family val="2"/>
          </rPr>
          <t xml:space="preserve">ASSESS:
</t>
        </r>
        <r>
          <rPr>
            <sz val="9"/>
            <color indexed="81"/>
            <rFont val="Tahoma"/>
            <family val="2"/>
          </rPr>
          <t xml:space="preserve">Identify and understand a presenting problem, including evaluations.
</t>
        </r>
        <r>
          <rPr>
            <b/>
            <sz val="9"/>
            <color indexed="81"/>
            <rFont val="Tahoma"/>
            <family val="2"/>
          </rPr>
          <t>PLAN:</t>
        </r>
        <r>
          <rPr>
            <sz val="9"/>
            <color indexed="81"/>
            <rFont val="Tahoma"/>
            <family val="2"/>
          </rPr>
          <t xml:space="preserve">
Define the package of skills required to meet service user needs.</t>
        </r>
      </text>
    </comment>
    <comment ref="B18" authorId="0" shapeId="0" xr:uid="{5B18FC43-DA06-459A-9F83-2CF457ECCF38}">
      <text>
        <r>
          <rPr>
            <b/>
            <sz val="9"/>
            <color indexed="81"/>
            <rFont val="Tahoma"/>
            <family val="2"/>
          </rPr>
          <t xml:space="preserve">TREAT:
</t>
        </r>
        <r>
          <rPr>
            <sz val="9"/>
            <color indexed="81"/>
            <rFont val="Tahoma"/>
            <family val="2"/>
          </rPr>
          <t xml:space="preserve">Change the condition and restore the service user to good, or improved health.
</t>
        </r>
        <r>
          <rPr>
            <b/>
            <sz val="9"/>
            <color indexed="81"/>
            <rFont val="Tahoma"/>
            <family val="2"/>
          </rPr>
          <t>RELIEVE:</t>
        </r>
        <r>
          <rPr>
            <sz val="9"/>
            <color indexed="81"/>
            <rFont val="Tahoma"/>
            <family val="2"/>
          </rPr>
          <t xml:space="preserve">
Assist service users by abating symptoms of ill-health and distress and meet support needs</t>
        </r>
      </text>
    </comment>
    <comment ref="K18" authorId="0" shapeId="0" xr:uid="{B10895FC-7534-4243-97AF-32EDC563B4E2}">
      <text>
        <r>
          <rPr>
            <b/>
            <sz val="9"/>
            <color indexed="81"/>
            <rFont val="Tahoma"/>
            <family val="2"/>
          </rPr>
          <t xml:space="preserve">TREAT:
</t>
        </r>
        <r>
          <rPr>
            <sz val="9"/>
            <color indexed="81"/>
            <rFont val="Tahoma"/>
            <family val="2"/>
          </rPr>
          <t xml:space="preserve">Change the condition and restore the service user to good, or improved health.
</t>
        </r>
        <r>
          <rPr>
            <b/>
            <sz val="9"/>
            <color indexed="81"/>
            <rFont val="Tahoma"/>
            <family val="2"/>
          </rPr>
          <t>RELIEVE:</t>
        </r>
        <r>
          <rPr>
            <sz val="9"/>
            <color indexed="81"/>
            <rFont val="Tahoma"/>
            <family val="2"/>
          </rPr>
          <t xml:space="preserve">
Assist service users by abating symptoms of ill-health and distress and meet support needs</t>
        </r>
      </text>
    </comment>
    <comment ref="B19" authorId="0" shapeId="0" xr:uid="{5943AE1F-0D59-45C6-8657-BC0F767AEEB6}">
      <text>
        <r>
          <rPr>
            <b/>
            <sz val="9"/>
            <color indexed="81"/>
            <rFont val="Tahoma"/>
            <family val="2"/>
          </rPr>
          <t xml:space="preserve">LINK:
</t>
        </r>
        <r>
          <rPr>
            <sz val="9"/>
            <color indexed="81"/>
            <rFont val="Tahoma"/>
            <family val="2"/>
          </rPr>
          <t>Connect different sectors, services, workforces and their skills around a holistic understanding of the needs of the service user.</t>
        </r>
      </text>
    </comment>
    <comment ref="K19" authorId="0" shapeId="0" xr:uid="{F1741370-27A9-4133-A4E5-9F224E1371C3}">
      <text>
        <r>
          <rPr>
            <b/>
            <sz val="9"/>
            <color indexed="81"/>
            <rFont val="Tahoma"/>
            <family val="2"/>
          </rPr>
          <t xml:space="preserve">LINK:
</t>
        </r>
        <r>
          <rPr>
            <sz val="9"/>
            <color indexed="81"/>
            <rFont val="Tahoma"/>
            <family val="2"/>
          </rPr>
          <t>Connect different sectors, services, workforces and their skills around a holistic understanding of the needs of the service user.</t>
        </r>
      </text>
    </comment>
    <comment ref="C27" authorId="0" shapeId="0" xr:uid="{A10C8802-C9B1-41F4-8FF0-144429FE1F76}">
      <text>
        <r>
          <rPr>
            <b/>
            <sz val="9"/>
            <color indexed="81"/>
            <rFont val="Tahoma"/>
            <family val="2"/>
          </rPr>
          <t>GROUP A:</t>
        </r>
        <r>
          <rPr>
            <sz val="9"/>
            <color indexed="81"/>
            <rFont val="Tahoma"/>
            <family val="2"/>
          </rPr>
          <t xml:space="preserve">
Requires no training at all and generally will not involve complex technology.</t>
        </r>
      </text>
    </comment>
    <comment ref="D27" authorId="0" shapeId="0" xr:uid="{5B8B29D5-D9F7-4122-BE3D-02D089B2F851}">
      <text>
        <r>
          <rPr>
            <b/>
            <sz val="9"/>
            <color indexed="81"/>
            <rFont val="Tahoma"/>
            <family val="2"/>
          </rPr>
          <t>GROUP B:</t>
        </r>
        <r>
          <rPr>
            <sz val="9"/>
            <color indexed="81"/>
            <rFont val="Tahoma"/>
            <family val="2"/>
          </rPr>
          <t xml:space="preserve">
Requires some training, induction or education of up to a year, or substantial experience of around five years in the role.</t>
        </r>
      </text>
    </comment>
    <comment ref="E27" authorId="0" shapeId="0" xr:uid="{4EBC0711-685B-49B6-A902-AD46CD738FC7}">
      <text>
        <r>
          <rPr>
            <b/>
            <sz val="9"/>
            <color indexed="81"/>
            <rFont val="Tahoma"/>
            <family val="2"/>
          </rPr>
          <t>GROUP C:</t>
        </r>
        <r>
          <rPr>
            <sz val="9"/>
            <color indexed="81"/>
            <rFont val="Tahoma"/>
            <family val="2"/>
          </rPr>
          <t xml:space="preserve">
Requires three to four years of formal education and are associated
with junior non-medical professions (e.g. occupational therapists).</t>
        </r>
      </text>
    </comment>
    <comment ref="F27" authorId="0" shapeId="0" xr:uid="{483273A6-D4A5-4AC6-A096-F3965A3A23F5}">
      <text>
        <r>
          <rPr>
            <b/>
            <sz val="9"/>
            <color indexed="81"/>
            <rFont val="Tahoma"/>
            <family val="2"/>
          </rPr>
          <t>GROUP D:</t>
        </r>
        <r>
          <rPr>
            <sz val="9"/>
            <color indexed="81"/>
            <rFont val="Tahoma"/>
            <family val="2"/>
          </rPr>
          <t xml:space="preserve">
Requires either four to six years of formal education or three to four years education together with substantial experience. These activities are associated with technical or scientific professionals such as pharmacists or senior non-medical professions (Agenda for Change bands 7-8).</t>
        </r>
      </text>
    </comment>
    <comment ref="G27" authorId="0" shapeId="0" xr:uid="{4F6D3FDF-1F7F-427A-8EC1-96B7596A4E51}">
      <text>
        <r>
          <rPr>
            <b/>
            <sz val="9"/>
            <color indexed="81"/>
            <rFont val="Tahoma"/>
            <family val="2"/>
          </rPr>
          <t xml:space="preserve">GROUP E:
</t>
        </r>
        <r>
          <rPr>
            <sz val="9"/>
            <color indexed="81"/>
            <rFont val="Tahoma"/>
            <family val="2"/>
          </rPr>
          <t>Requires over six years of formal education and are generally associated with junior medical and dental staff.</t>
        </r>
      </text>
    </comment>
    <comment ref="H27" authorId="0" shapeId="0" xr:uid="{B5086BE2-49A5-4520-88CC-80DAB1D2A0FE}">
      <text>
        <r>
          <rPr>
            <b/>
            <sz val="9"/>
            <color indexed="81"/>
            <rFont val="Tahoma"/>
            <family val="2"/>
          </rPr>
          <t>GROUP F:</t>
        </r>
        <r>
          <rPr>
            <sz val="9"/>
            <color indexed="81"/>
            <rFont val="Tahoma"/>
            <family val="2"/>
          </rPr>
          <t xml:space="preserve">
Requires over six years of formal education and significant experience in post. These skills are associated with consultant and associate specialist grade medical and dental staff.</t>
        </r>
      </text>
    </comment>
    <comment ref="L27" authorId="0" shapeId="0" xr:uid="{8D9DE020-BBA4-4F3F-9DA5-D3C7FC340EAE}">
      <text>
        <r>
          <rPr>
            <b/>
            <sz val="9"/>
            <color indexed="81"/>
            <rFont val="Tahoma"/>
            <family val="2"/>
          </rPr>
          <t>GROUP A:</t>
        </r>
        <r>
          <rPr>
            <sz val="9"/>
            <color indexed="81"/>
            <rFont val="Tahoma"/>
            <family val="2"/>
          </rPr>
          <t xml:space="preserve">
Requires no training at all and generally will not involve complex technology.</t>
        </r>
      </text>
    </comment>
    <comment ref="M27" authorId="0" shapeId="0" xr:uid="{C677346A-2644-45BD-B11F-36EA38DA2870}">
      <text>
        <r>
          <rPr>
            <b/>
            <sz val="9"/>
            <color indexed="81"/>
            <rFont val="Tahoma"/>
            <family val="2"/>
          </rPr>
          <t>GROUP B:</t>
        </r>
        <r>
          <rPr>
            <sz val="9"/>
            <color indexed="81"/>
            <rFont val="Tahoma"/>
            <family val="2"/>
          </rPr>
          <t xml:space="preserve">
Requires some training, induction or education of up to a year, or substantial experience of around five years in the role.</t>
        </r>
      </text>
    </comment>
    <comment ref="N27" authorId="0" shapeId="0" xr:uid="{9C3B926F-BD35-41B5-8480-198678AC68A2}">
      <text>
        <r>
          <rPr>
            <b/>
            <sz val="9"/>
            <color indexed="81"/>
            <rFont val="Tahoma"/>
            <family val="2"/>
          </rPr>
          <t>GROUP C:</t>
        </r>
        <r>
          <rPr>
            <sz val="9"/>
            <color indexed="81"/>
            <rFont val="Tahoma"/>
            <family val="2"/>
          </rPr>
          <t xml:space="preserve">
Requires three to four years of formal education and are associated
with junior non-medical professions (e.g. occupational therapists).</t>
        </r>
      </text>
    </comment>
    <comment ref="O27" authorId="0" shapeId="0" xr:uid="{F8D4774B-F4B3-4E7E-B69A-1652781763FC}">
      <text>
        <r>
          <rPr>
            <b/>
            <sz val="9"/>
            <color indexed="81"/>
            <rFont val="Tahoma"/>
            <family val="2"/>
          </rPr>
          <t>GROUP D:</t>
        </r>
        <r>
          <rPr>
            <sz val="9"/>
            <color indexed="81"/>
            <rFont val="Tahoma"/>
            <family val="2"/>
          </rPr>
          <t xml:space="preserve">
Requires either four to six years of formal education or three to four years education together with substantial experience. These activities are associated with technical or scientific professionals such as pharmacists or senior non-medical professions (Agenda for Change bands 7-8).</t>
        </r>
      </text>
    </comment>
    <comment ref="P27" authorId="0" shapeId="0" xr:uid="{2F1FBF66-6038-408B-842C-79EB9562A762}">
      <text>
        <r>
          <rPr>
            <b/>
            <sz val="9"/>
            <color indexed="81"/>
            <rFont val="Tahoma"/>
            <family val="2"/>
          </rPr>
          <t xml:space="preserve">GROUP E:
</t>
        </r>
        <r>
          <rPr>
            <sz val="9"/>
            <color indexed="81"/>
            <rFont val="Tahoma"/>
            <family val="2"/>
          </rPr>
          <t>Requires over six years of formal education and are generally associated with junior medical and dental staff.</t>
        </r>
      </text>
    </comment>
    <comment ref="Q27" authorId="0" shapeId="0" xr:uid="{CDEF6FAE-C5B4-494C-8212-AE081397C62E}">
      <text>
        <r>
          <rPr>
            <b/>
            <sz val="9"/>
            <color indexed="81"/>
            <rFont val="Tahoma"/>
            <family val="2"/>
          </rPr>
          <t>GROUP F:</t>
        </r>
        <r>
          <rPr>
            <sz val="9"/>
            <color indexed="81"/>
            <rFont val="Tahoma"/>
            <family val="2"/>
          </rPr>
          <t xml:space="preserve">
Requires over six years of formal education and significant experience in post. These skills are associated with consultant and associate specialist grade medical and dental staff.</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Richard Blackwell</author>
  </authors>
  <commentList>
    <comment ref="C5" authorId="0" shapeId="0" xr:uid="{AFD2A946-3F21-4397-B673-DA85A65A226B}">
      <text>
        <r>
          <rPr>
            <b/>
            <sz val="9"/>
            <color indexed="81"/>
            <rFont val="Tahoma"/>
            <family val="2"/>
          </rPr>
          <t>GROUP A:</t>
        </r>
        <r>
          <rPr>
            <sz val="9"/>
            <color indexed="81"/>
            <rFont val="Tahoma"/>
            <family val="2"/>
          </rPr>
          <t xml:space="preserve">
Requires no training at all and generally will not involve complex technology.</t>
        </r>
      </text>
    </comment>
    <comment ref="D5" authorId="0" shapeId="0" xr:uid="{A5A8537F-70B7-441A-8EEC-6F26B67C7BEE}">
      <text>
        <r>
          <rPr>
            <b/>
            <sz val="9"/>
            <color indexed="81"/>
            <rFont val="Tahoma"/>
            <family val="2"/>
          </rPr>
          <t>GROUP B:</t>
        </r>
        <r>
          <rPr>
            <sz val="9"/>
            <color indexed="81"/>
            <rFont val="Tahoma"/>
            <family val="2"/>
          </rPr>
          <t xml:space="preserve">
Requires some training, induction or education of up to a year, or substantial experience of around five years in the role.</t>
        </r>
      </text>
    </comment>
    <comment ref="E5" authorId="0" shapeId="0" xr:uid="{E1459022-6156-4F38-A342-ABB5D725377C}">
      <text>
        <r>
          <rPr>
            <b/>
            <sz val="9"/>
            <color indexed="81"/>
            <rFont val="Tahoma"/>
            <family val="2"/>
          </rPr>
          <t>GROUP C:</t>
        </r>
        <r>
          <rPr>
            <sz val="9"/>
            <color indexed="81"/>
            <rFont val="Tahoma"/>
            <family val="2"/>
          </rPr>
          <t xml:space="preserve">
Requires three to four years of formal education and are associated
with junior non-medical professions (e.g. occupational therapists).</t>
        </r>
      </text>
    </comment>
    <comment ref="F5" authorId="0" shapeId="0" xr:uid="{85E14EF9-FC23-4856-9EC0-6391C5A0DBF0}">
      <text>
        <r>
          <rPr>
            <b/>
            <sz val="9"/>
            <color indexed="81"/>
            <rFont val="Tahoma"/>
            <family val="2"/>
          </rPr>
          <t>GROUP D:</t>
        </r>
        <r>
          <rPr>
            <sz val="9"/>
            <color indexed="81"/>
            <rFont val="Tahoma"/>
            <family val="2"/>
          </rPr>
          <t xml:space="preserve">
Requires either four to six years of formal education or three to four years education together with substantial experience. These activities are associated with technical or scientific professionals such as pharmacists or senior non-medical professions (Agenda for Change bands 7-8).</t>
        </r>
      </text>
    </comment>
    <comment ref="G5" authorId="0" shapeId="0" xr:uid="{1780C0A7-6D76-452F-BC97-084EDF037F17}">
      <text>
        <r>
          <rPr>
            <b/>
            <sz val="9"/>
            <color indexed="81"/>
            <rFont val="Tahoma"/>
            <family val="2"/>
          </rPr>
          <t xml:space="preserve">GROUP E:
</t>
        </r>
        <r>
          <rPr>
            <sz val="9"/>
            <color indexed="81"/>
            <rFont val="Tahoma"/>
            <family val="2"/>
          </rPr>
          <t>Requires over six years of formal education and are generally associated with junior medical and dental staff.</t>
        </r>
      </text>
    </comment>
    <comment ref="H5" authorId="0" shapeId="0" xr:uid="{933A39AA-6E30-4E36-99AD-99B6FB6D4B81}">
      <text>
        <r>
          <rPr>
            <b/>
            <sz val="9"/>
            <color indexed="81"/>
            <rFont val="Tahoma"/>
            <family val="2"/>
          </rPr>
          <t>GROUP F:</t>
        </r>
        <r>
          <rPr>
            <sz val="9"/>
            <color indexed="81"/>
            <rFont val="Tahoma"/>
            <family val="2"/>
          </rPr>
          <t xml:space="preserve">
Requires over six years of formal education and significant experience in post. These skills are associated with consultant and associate specialist grade medical and dental staff.</t>
        </r>
      </text>
    </comment>
    <comment ref="L5" authorId="0" shapeId="0" xr:uid="{E0012B90-BBE9-416F-800B-0DF022852890}">
      <text>
        <r>
          <rPr>
            <b/>
            <sz val="9"/>
            <color indexed="81"/>
            <rFont val="Tahoma"/>
            <family val="2"/>
          </rPr>
          <t>GROUP A:</t>
        </r>
        <r>
          <rPr>
            <sz val="9"/>
            <color indexed="81"/>
            <rFont val="Tahoma"/>
            <family val="2"/>
          </rPr>
          <t xml:space="preserve">
Requires no training at all and generally will not involve complex technology.</t>
        </r>
      </text>
    </comment>
    <comment ref="M5" authorId="0" shapeId="0" xr:uid="{A93CF73A-3085-4BB6-9C75-759522D31B59}">
      <text>
        <r>
          <rPr>
            <b/>
            <sz val="9"/>
            <color indexed="81"/>
            <rFont val="Tahoma"/>
            <family val="2"/>
          </rPr>
          <t>GROUP B:</t>
        </r>
        <r>
          <rPr>
            <sz val="9"/>
            <color indexed="81"/>
            <rFont val="Tahoma"/>
            <family val="2"/>
          </rPr>
          <t xml:space="preserve">
Requires some training, induction or education of up to a year, or substantial experience of around five years in the role.</t>
        </r>
      </text>
    </comment>
    <comment ref="N5" authorId="0" shapeId="0" xr:uid="{D0837F45-8E8B-436B-8557-6F216C84E695}">
      <text>
        <r>
          <rPr>
            <b/>
            <sz val="9"/>
            <color indexed="81"/>
            <rFont val="Tahoma"/>
            <family val="2"/>
          </rPr>
          <t>GROUP C:</t>
        </r>
        <r>
          <rPr>
            <sz val="9"/>
            <color indexed="81"/>
            <rFont val="Tahoma"/>
            <family val="2"/>
          </rPr>
          <t xml:space="preserve">
Requires three to four years of formal education and are associated
with junior non-medical professions (e.g. occupational therapists).</t>
        </r>
      </text>
    </comment>
    <comment ref="O5" authorId="0" shapeId="0" xr:uid="{7B47E84A-BF13-4520-8B3D-1963FE693C91}">
      <text>
        <r>
          <rPr>
            <b/>
            <sz val="9"/>
            <color indexed="81"/>
            <rFont val="Tahoma"/>
            <family val="2"/>
          </rPr>
          <t>GROUP D:</t>
        </r>
        <r>
          <rPr>
            <sz val="9"/>
            <color indexed="81"/>
            <rFont val="Tahoma"/>
            <family val="2"/>
          </rPr>
          <t xml:space="preserve">
Requires either four to six years of formal education or three to four years education together with substantial experience. These activities are associated with technical or scientific professionals such as pharmacists or senior non-medical professions (Agenda for Change bands 7-8).</t>
        </r>
      </text>
    </comment>
    <comment ref="P5" authorId="0" shapeId="0" xr:uid="{8322153B-6E25-46E5-9483-86EDEFABE46A}">
      <text>
        <r>
          <rPr>
            <b/>
            <sz val="9"/>
            <color indexed="81"/>
            <rFont val="Tahoma"/>
            <family val="2"/>
          </rPr>
          <t xml:space="preserve">GROUP E:
</t>
        </r>
        <r>
          <rPr>
            <sz val="9"/>
            <color indexed="81"/>
            <rFont val="Tahoma"/>
            <family val="2"/>
          </rPr>
          <t>Requires over six years of formal education and are generally associated with junior medical and dental staff.</t>
        </r>
      </text>
    </comment>
    <comment ref="Q5" authorId="0" shapeId="0" xr:uid="{F66D7D35-62B0-4FE0-82A7-D3D46F10541E}">
      <text>
        <r>
          <rPr>
            <b/>
            <sz val="9"/>
            <color indexed="81"/>
            <rFont val="Tahoma"/>
            <family val="2"/>
          </rPr>
          <t>GROUP F:</t>
        </r>
        <r>
          <rPr>
            <sz val="9"/>
            <color indexed="81"/>
            <rFont val="Tahoma"/>
            <family val="2"/>
          </rPr>
          <t xml:space="preserve">
Requires over six years of formal education and significant experience in post. These skills are associated with consultant and associate specialist grade medical and dental staff.</t>
        </r>
      </text>
    </comment>
    <comment ref="U5" authorId="0" shapeId="0" xr:uid="{4E333DFF-52DB-4AB0-8710-4D67C13D662C}">
      <text>
        <r>
          <rPr>
            <b/>
            <sz val="9"/>
            <color indexed="81"/>
            <rFont val="Tahoma"/>
            <family val="2"/>
          </rPr>
          <t>GROUP A:</t>
        </r>
        <r>
          <rPr>
            <sz val="9"/>
            <color indexed="81"/>
            <rFont val="Tahoma"/>
            <family val="2"/>
          </rPr>
          <t xml:space="preserve">
Requires no training at all and generally will not involve complex technology.</t>
        </r>
      </text>
    </comment>
    <comment ref="V5" authorId="0" shapeId="0" xr:uid="{A3DB6CAE-9AC6-4E85-A220-9B531D3A534B}">
      <text>
        <r>
          <rPr>
            <b/>
            <sz val="9"/>
            <color indexed="81"/>
            <rFont val="Tahoma"/>
            <family val="2"/>
          </rPr>
          <t>GROUP B:</t>
        </r>
        <r>
          <rPr>
            <sz val="9"/>
            <color indexed="81"/>
            <rFont val="Tahoma"/>
            <family val="2"/>
          </rPr>
          <t xml:space="preserve">
Requires some training, induction or education of up to a year, or substantial experience of around five years in the role.</t>
        </r>
      </text>
    </comment>
    <comment ref="W5" authorId="0" shapeId="0" xr:uid="{85DF690F-39DE-40C7-9DF0-16C639E6F3C7}">
      <text>
        <r>
          <rPr>
            <b/>
            <sz val="9"/>
            <color indexed="81"/>
            <rFont val="Tahoma"/>
            <family val="2"/>
          </rPr>
          <t>GROUP C:</t>
        </r>
        <r>
          <rPr>
            <sz val="9"/>
            <color indexed="81"/>
            <rFont val="Tahoma"/>
            <family val="2"/>
          </rPr>
          <t xml:space="preserve">
Requires three to four years of formal education and are associated
with junior non-medical professions (e.g. occupational therapists).</t>
        </r>
      </text>
    </comment>
    <comment ref="X5" authorId="0" shapeId="0" xr:uid="{3D9F1425-1E61-4E48-8AB6-948002AABF0A}">
      <text>
        <r>
          <rPr>
            <b/>
            <sz val="9"/>
            <color indexed="81"/>
            <rFont val="Tahoma"/>
            <family val="2"/>
          </rPr>
          <t>GROUP D:</t>
        </r>
        <r>
          <rPr>
            <sz val="9"/>
            <color indexed="81"/>
            <rFont val="Tahoma"/>
            <family val="2"/>
          </rPr>
          <t xml:space="preserve">
Requires either four to six years of formal education or three to four years education together with substantial experience. These activities are associated with technical or scientific professionals such as pharmacists or senior non-medical professions (Agenda for Change bands 7-8).</t>
        </r>
      </text>
    </comment>
    <comment ref="Y5" authorId="0" shapeId="0" xr:uid="{AACDD2F6-1BF2-4F0C-B507-33A8A0643BA7}">
      <text>
        <r>
          <rPr>
            <b/>
            <sz val="9"/>
            <color indexed="81"/>
            <rFont val="Tahoma"/>
            <family val="2"/>
          </rPr>
          <t xml:space="preserve">GROUP E:
</t>
        </r>
        <r>
          <rPr>
            <sz val="9"/>
            <color indexed="81"/>
            <rFont val="Tahoma"/>
            <family val="2"/>
          </rPr>
          <t>Requires over six years of formal education and are generally associated with junior medical and dental staff.</t>
        </r>
      </text>
    </comment>
    <comment ref="Z5" authorId="0" shapeId="0" xr:uid="{914C8761-66FC-4745-9197-68BA480D8146}">
      <text>
        <r>
          <rPr>
            <b/>
            <sz val="9"/>
            <color indexed="81"/>
            <rFont val="Tahoma"/>
            <family val="2"/>
          </rPr>
          <t>GROUP F:</t>
        </r>
        <r>
          <rPr>
            <sz val="9"/>
            <color indexed="81"/>
            <rFont val="Tahoma"/>
            <family val="2"/>
          </rPr>
          <t xml:space="preserve">
Requires over six years of formal education and significant experience in post. These skills are associated with consultant and associate specialist grade medical and dental staff.</t>
        </r>
      </text>
    </comment>
    <comment ref="B6" authorId="0" shapeId="0" xr:uid="{BD5463BB-68E3-460E-8CCC-9B1703B79578}">
      <text>
        <r>
          <rPr>
            <b/>
            <sz val="9"/>
            <color indexed="81"/>
            <rFont val="Tahoma"/>
            <family val="2"/>
          </rPr>
          <t>PREVENT:</t>
        </r>
        <r>
          <rPr>
            <sz val="9"/>
            <color indexed="81"/>
            <rFont val="Tahoma"/>
            <family val="2"/>
          </rPr>
          <t xml:space="preserve">
Reduce the instance or incidence of ill health and demand for care.
</t>
        </r>
        <r>
          <rPr>
            <b/>
            <sz val="9"/>
            <color indexed="81"/>
            <rFont val="Tahoma"/>
            <family val="2"/>
          </rPr>
          <t>ENABLE:</t>
        </r>
        <r>
          <rPr>
            <sz val="9"/>
            <color indexed="81"/>
            <rFont val="Tahoma"/>
            <family val="2"/>
          </rPr>
          <t xml:space="preserve">
Increase the control and capacity service users have to improve their situation.
</t>
        </r>
        <r>
          <rPr>
            <b/>
            <sz val="9"/>
            <color indexed="81"/>
            <rFont val="Tahoma"/>
            <family val="2"/>
          </rPr>
          <t>REHABILITATE:</t>
        </r>
        <r>
          <rPr>
            <sz val="9"/>
            <color indexed="81"/>
            <rFont val="Tahoma"/>
            <family val="2"/>
          </rPr>
          <t xml:space="preserve">
Restore functionality, independence, articipation and even purpose of service user.</t>
        </r>
      </text>
    </comment>
    <comment ref="K6" authorId="0" shapeId="0" xr:uid="{E0992EFC-4AAB-4299-BD72-3A9E5366F28F}">
      <text>
        <r>
          <rPr>
            <b/>
            <sz val="9"/>
            <color indexed="81"/>
            <rFont val="Tahoma"/>
            <family val="2"/>
          </rPr>
          <t>PREVENT:</t>
        </r>
        <r>
          <rPr>
            <sz val="9"/>
            <color indexed="81"/>
            <rFont val="Tahoma"/>
            <family val="2"/>
          </rPr>
          <t xml:space="preserve">
Reduce the instance or incidence of ill health and demand for care.
</t>
        </r>
        <r>
          <rPr>
            <b/>
            <sz val="9"/>
            <color indexed="81"/>
            <rFont val="Tahoma"/>
            <family val="2"/>
          </rPr>
          <t>ENABLE:</t>
        </r>
        <r>
          <rPr>
            <sz val="9"/>
            <color indexed="81"/>
            <rFont val="Tahoma"/>
            <family val="2"/>
          </rPr>
          <t xml:space="preserve">
Increase the control and capacity service users have to improve their situation.
</t>
        </r>
        <r>
          <rPr>
            <b/>
            <sz val="9"/>
            <color indexed="81"/>
            <rFont val="Tahoma"/>
            <family val="2"/>
          </rPr>
          <t>REHABILITATE:</t>
        </r>
        <r>
          <rPr>
            <sz val="9"/>
            <color indexed="81"/>
            <rFont val="Tahoma"/>
            <family val="2"/>
          </rPr>
          <t xml:space="preserve">
Restore functionality, independence, articipation and even purpose of service user.</t>
        </r>
      </text>
    </comment>
    <comment ref="T6" authorId="0" shapeId="0" xr:uid="{A8453BD4-3132-4F75-90DC-BF3D3804206D}">
      <text>
        <r>
          <rPr>
            <b/>
            <sz val="9"/>
            <color indexed="81"/>
            <rFont val="Tahoma"/>
            <family val="2"/>
          </rPr>
          <t>PREVENT:</t>
        </r>
        <r>
          <rPr>
            <sz val="9"/>
            <color indexed="81"/>
            <rFont val="Tahoma"/>
            <family val="2"/>
          </rPr>
          <t xml:space="preserve">
Reduce the instance or incidence of ill health and demand for care.
</t>
        </r>
        <r>
          <rPr>
            <b/>
            <sz val="9"/>
            <color indexed="81"/>
            <rFont val="Tahoma"/>
            <family val="2"/>
          </rPr>
          <t>ENABLE:</t>
        </r>
        <r>
          <rPr>
            <sz val="9"/>
            <color indexed="81"/>
            <rFont val="Tahoma"/>
            <family val="2"/>
          </rPr>
          <t xml:space="preserve">
Increase the control and capacity service users have to improve their situation.
</t>
        </r>
        <r>
          <rPr>
            <b/>
            <sz val="9"/>
            <color indexed="81"/>
            <rFont val="Tahoma"/>
            <family val="2"/>
          </rPr>
          <t>REHABILITATE:</t>
        </r>
        <r>
          <rPr>
            <sz val="9"/>
            <color indexed="81"/>
            <rFont val="Tahoma"/>
            <family val="2"/>
          </rPr>
          <t xml:space="preserve">
Restore functionality, independence, articipation and even purpose of service user.</t>
        </r>
      </text>
    </comment>
    <comment ref="B7" authorId="0" shapeId="0" xr:uid="{286BA48F-9E6E-46F4-8050-663CDA65B49B}">
      <text>
        <r>
          <rPr>
            <b/>
            <sz val="9"/>
            <color indexed="81"/>
            <rFont val="Tahoma"/>
            <family val="2"/>
          </rPr>
          <t xml:space="preserve">ASSESS:
</t>
        </r>
        <r>
          <rPr>
            <sz val="9"/>
            <color indexed="81"/>
            <rFont val="Tahoma"/>
            <family val="2"/>
          </rPr>
          <t xml:space="preserve">Identify and understand a presenting problem, including evaluations.
</t>
        </r>
        <r>
          <rPr>
            <b/>
            <sz val="9"/>
            <color indexed="81"/>
            <rFont val="Tahoma"/>
            <family val="2"/>
          </rPr>
          <t>PLAN:</t>
        </r>
        <r>
          <rPr>
            <sz val="9"/>
            <color indexed="81"/>
            <rFont val="Tahoma"/>
            <family val="2"/>
          </rPr>
          <t xml:space="preserve">
Define the package of skills required to meet service user needs.</t>
        </r>
      </text>
    </comment>
    <comment ref="K7" authorId="0" shapeId="0" xr:uid="{D57C8034-0F2A-4B6A-BEAC-AB5F4DD94AB9}">
      <text>
        <r>
          <rPr>
            <b/>
            <sz val="9"/>
            <color indexed="81"/>
            <rFont val="Tahoma"/>
            <family val="2"/>
          </rPr>
          <t xml:space="preserve">ASSESS:
</t>
        </r>
        <r>
          <rPr>
            <sz val="9"/>
            <color indexed="81"/>
            <rFont val="Tahoma"/>
            <family val="2"/>
          </rPr>
          <t xml:space="preserve">Identify and understand a presenting problem, including evaluations.
</t>
        </r>
        <r>
          <rPr>
            <b/>
            <sz val="9"/>
            <color indexed="81"/>
            <rFont val="Tahoma"/>
            <family val="2"/>
          </rPr>
          <t>PLAN:</t>
        </r>
        <r>
          <rPr>
            <sz val="9"/>
            <color indexed="81"/>
            <rFont val="Tahoma"/>
            <family val="2"/>
          </rPr>
          <t xml:space="preserve">
Define the package of skills required to meet service user needs.</t>
        </r>
      </text>
    </comment>
    <comment ref="T7" authorId="0" shapeId="0" xr:uid="{86A5545D-813D-40D3-85FB-BF309A7A9E1F}">
      <text>
        <r>
          <rPr>
            <b/>
            <sz val="9"/>
            <color indexed="81"/>
            <rFont val="Tahoma"/>
            <family val="2"/>
          </rPr>
          <t xml:space="preserve">ASSESS:
</t>
        </r>
        <r>
          <rPr>
            <sz val="9"/>
            <color indexed="81"/>
            <rFont val="Tahoma"/>
            <family val="2"/>
          </rPr>
          <t xml:space="preserve">Identify and understand a presenting problem, including evaluations.
</t>
        </r>
        <r>
          <rPr>
            <b/>
            <sz val="9"/>
            <color indexed="81"/>
            <rFont val="Tahoma"/>
            <family val="2"/>
          </rPr>
          <t>PLAN:</t>
        </r>
        <r>
          <rPr>
            <sz val="9"/>
            <color indexed="81"/>
            <rFont val="Tahoma"/>
            <family val="2"/>
          </rPr>
          <t xml:space="preserve">
Define the package of skills required to meet service user needs.</t>
        </r>
      </text>
    </comment>
    <comment ref="B8" authorId="0" shapeId="0" xr:uid="{EC06BEB8-9257-44D0-BBD7-94FCE31B8AF3}">
      <text>
        <r>
          <rPr>
            <b/>
            <sz val="9"/>
            <color indexed="81"/>
            <rFont val="Tahoma"/>
            <family val="2"/>
          </rPr>
          <t xml:space="preserve">TREAT:
</t>
        </r>
        <r>
          <rPr>
            <sz val="9"/>
            <color indexed="81"/>
            <rFont val="Tahoma"/>
            <family val="2"/>
          </rPr>
          <t xml:space="preserve">Change the condition and restore the service user to good, or improved health.
</t>
        </r>
        <r>
          <rPr>
            <b/>
            <sz val="9"/>
            <color indexed="81"/>
            <rFont val="Tahoma"/>
            <family val="2"/>
          </rPr>
          <t>RELIEVE:</t>
        </r>
        <r>
          <rPr>
            <sz val="9"/>
            <color indexed="81"/>
            <rFont val="Tahoma"/>
            <family val="2"/>
          </rPr>
          <t xml:space="preserve">
Assist service users by abating symptoms of ill-health and distress and meet support needs</t>
        </r>
      </text>
    </comment>
    <comment ref="K8" authorId="0" shapeId="0" xr:uid="{3A8CA210-C309-4A36-8A66-B499A136D99D}">
      <text>
        <r>
          <rPr>
            <b/>
            <sz val="9"/>
            <color indexed="81"/>
            <rFont val="Tahoma"/>
            <family val="2"/>
          </rPr>
          <t xml:space="preserve">TREAT:
</t>
        </r>
        <r>
          <rPr>
            <sz val="9"/>
            <color indexed="81"/>
            <rFont val="Tahoma"/>
            <family val="2"/>
          </rPr>
          <t xml:space="preserve">Change the condition and restore the service user to good, or improved health.
</t>
        </r>
        <r>
          <rPr>
            <b/>
            <sz val="9"/>
            <color indexed="81"/>
            <rFont val="Tahoma"/>
            <family val="2"/>
          </rPr>
          <t>RELIEVE:</t>
        </r>
        <r>
          <rPr>
            <sz val="9"/>
            <color indexed="81"/>
            <rFont val="Tahoma"/>
            <family val="2"/>
          </rPr>
          <t xml:space="preserve">
Assist service users by abating symptoms of ill-health and distress and meet support needs</t>
        </r>
      </text>
    </comment>
    <comment ref="T8" authorId="0" shapeId="0" xr:uid="{13F2CCE6-0A67-4B61-A016-5D0EAA90B26F}">
      <text>
        <r>
          <rPr>
            <b/>
            <sz val="9"/>
            <color indexed="81"/>
            <rFont val="Tahoma"/>
            <family val="2"/>
          </rPr>
          <t xml:space="preserve">TREAT:
</t>
        </r>
        <r>
          <rPr>
            <sz val="9"/>
            <color indexed="81"/>
            <rFont val="Tahoma"/>
            <family val="2"/>
          </rPr>
          <t xml:space="preserve">Change the condition and restore the service user to good, or improved health.
</t>
        </r>
        <r>
          <rPr>
            <b/>
            <sz val="9"/>
            <color indexed="81"/>
            <rFont val="Tahoma"/>
            <family val="2"/>
          </rPr>
          <t>RELIEVE:</t>
        </r>
        <r>
          <rPr>
            <sz val="9"/>
            <color indexed="81"/>
            <rFont val="Tahoma"/>
            <family val="2"/>
          </rPr>
          <t xml:space="preserve">
Assist service users by abating symptoms of ill-health and distress and meet support needs</t>
        </r>
      </text>
    </comment>
    <comment ref="B9" authorId="0" shapeId="0" xr:uid="{D30A640F-F286-4E57-BEB3-4FAC6A1054E3}">
      <text>
        <r>
          <rPr>
            <b/>
            <sz val="9"/>
            <color indexed="81"/>
            <rFont val="Tahoma"/>
            <family val="2"/>
          </rPr>
          <t xml:space="preserve">LINK:
</t>
        </r>
        <r>
          <rPr>
            <sz val="9"/>
            <color indexed="81"/>
            <rFont val="Tahoma"/>
            <family val="2"/>
          </rPr>
          <t>Connect different sectors, services, workforces and their skills around a holistic understanding of the needs of the service user.</t>
        </r>
      </text>
    </comment>
    <comment ref="K9" authorId="0" shapeId="0" xr:uid="{33A94A39-843F-406D-A03F-9E59FB2FDAAF}">
      <text>
        <r>
          <rPr>
            <b/>
            <sz val="9"/>
            <color indexed="81"/>
            <rFont val="Tahoma"/>
            <family val="2"/>
          </rPr>
          <t xml:space="preserve">LINK:
</t>
        </r>
        <r>
          <rPr>
            <sz val="9"/>
            <color indexed="81"/>
            <rFont val="Tahoma"/>
            <family val="2"/>
          </rPr>
          <t>Connect different sectors, services, workforces and their skills around a holistic understanding of the needs of the service user.</t>
        </r>
      </text>
    </comment>
    <comment ref="T9" authorId="0" shapeId="0" xr:uid="{C1B57E22-E2AA-41A9-BADB-EEF186266CEB}">
      <text>
        <r>
          <rPr>
            <b/>
            <sz val="9"/>
            <color indexed="81"/>
            <rFont val="Tahoma"/>
            <family val="2"/>
          </rPr>
          <t xml:space="preserve">LINK:
</t>
        </r>
        <r>
          <rPr>
            <sz val="9"/>
            <color indexed="81"/>
            <rFont val="Tahoma"/>
            <family val="2"/>
          </rPr>
          <t>Connect different sectors, services, workforces and their skills around a holistic understanding of the needs of the service user.</t>
        </r>
      </text>
    </comment>
    <comment ref="C15" authorId="0" shapeId="0" xr:uid="{BE9BC3B6-8464-4601-A9A1-5332947B7C2B}">
      <text>
        <r>
          <rPr>
            <b/>
            <sz val="9"/>
            <color indexed="81"/>
            <rFont val="Tahoma"/>
            <family val="2"/>
          </rPr>
          <t>GROUP A:</t>
        </r>
        <r>
          <rPr>
            <sz val="9"/>
            <color indexed="81"/>
            <rFont val="Tahoma"/>
            <family val="2"/>
          </rPr>
          <t xml:space="preserve">
Requires no training at all and generally will not involve complex technology.</t>
        </r>
      </text>
    </comment>
    <comment ref="D15" authorId="0" shapeId="0" xr:uid="{FE40AA09-DA21-4727-95CA-7ABF38D76F76}">
      <text>
        <r>
          <rPr>
            <b/>
            <sz val="9"/>
            <color indexed="81"/>
            <rFont val="Tahoma"/>
            <family val="2"/>
          </rPr>
          <t>GROUP B:</t>
        </r>
        <r>
          <rPr>
            <sz val="9"/>
            <color indexed="81"/>
            <rFont val="Tahoma"/>
            <family val="2"/>
          </rPr>
          <t xml:space="preserve">
Requires some training, induction or education of up to a year, or substantial experience of around five years in the role.</t>
        </r>
      </text>
    </comment>
    <comment ref="E15" authorId="0" shapeId="0" xr:uid="{F3059C96-CA39-4219-B53E-F06F851BABD4}">
      <text>
        <r>
          <rPr>
            <b/>
            <sz val="9"/>
            <color indexed="81"/>
            <rFont val="Tahoma"/>
            <family val="2"/>
          </rPr>
          <t>GROUP C:</t>
        </r>
        <r>
          <rPr>
            <sz val="9"/>
            <color indexed="81"/>
            <rFont val="Tahoma"/>
            <family val="2"/>
          </rPr>
          <t xml:space="preserve">
Requires three to four years of formal education and are associated
with junior non-medical professions (e.g. occupational therapists).</t>
        </r>
      </text>
    </comment>
    <comment ref="F15" authorId="0" shapeId="0" xr:uid="{EB09BC17-5855-4C34-BB49-97E1EB4873B3}">
      <text>
        <r>
          <rPr>
            <b/>
            <sz val="9"/>
            <color indexed="81"/>
            <rFont val="Tahoma"/>
            <family val="2"/>
          </rPr>
          <t>GROUP D:</t>
        </r>
        <r>
          <rPr>
            <sz val="9"/>
            <color indexed="81"/>
            <rFont val="Tahoma"/>
            <family val="2"/>
          </rPr>
          <t xml:space="preserve">
Requires either four to six years of formal education or three to four years education together with substantial experience. These activities are associated with technical or scientific professionals such as pharmacists or senior non-medical professions (Agenda for Change bands 7-8).</t>
        </r>
      </text>
    </comment>
    <comment ref="G15" authorId="0" shapeId="0" xr:uid="{A39321C8-EF41-4BAA-8422-B4275E237987}">
      <text>
        <r>
          <rPr>
            <b/>
            <sz val="9"/>
            <color indexed="81"/>
            <rFont val="Tahoma"/>
            <family val="2"/>
          </rPr>
          <t xml:space="preserve">GROUP E:
</t>
        </r>
        <r>
          <rPr>
            <sz val="9"/>
            <color indexed="81"/>
            <rFont val="Tahoma"/>
            <family val="2"/>
          </rPr>
          <t>Requires over six years of formal education and are generally associated with junior medical and dental staff.</t>
        </r>
      </text>
    </comment>
    <comment ref="H15" authorId="0" shapeId="0" xr:uid="{74E3E658-C720-4F94-BE2E-7AE7DCF14EFE}">
      <text>
        <r>
          <rPr>
            <b/>
            <sz val="9"/>
            <color indexed="81"/>
            <rFont val="Tahoma"/>
            <family val="2"/>
          </rPr>
          <t>GROUP F:</t>
        </r>
        <r>
          <rPr>
            <sz val="9"/>
            <color indexed="81"/>
            <rFont val="Tahoma"/>
            <family val="2"/>
          </rPr>
          <t xml:space="preserve">
Requires over six years of formal education and significant experience in post. These skills are associated with consultant and associate specialist grade medical and dental staff.</t>
        </r>
      </text>
    </comment>
    <comment ref="L15" authorId="0" shapeId="0" xr:uid="{5E306651-D135-4786-9914-ABEEC5946AFB}">
      <text>
        <r>
          <rPr>
            <b/>
            <sz val="9"/>
            <color indexed="81"/>
            <rFont val="Tahoma"/>
            <family val="2"/>
          </rPr>
          <t>GROUP A:</t>
        </r>
        <r>
          <rPr>
            <sz val="9"/>
            <color indexed="81"/>
            <rFont val="Tahoma"/>
            <family val="2"/>
          </rPr>
          <t xml:space="preserve">
Requires no training at all and generally will not involve complex technology.</t>
        </r>
      </text>
    </comment>
    <comment ref="M15" authorId="0" shapeId="0" xr:uid="{6ABA616B-71D6-4A9F-9F3C-AA680C757947}">
      <text>
        <r>
          <rPr>
            <b/>
            <sz val="9"/>
            <color indexed="81"/>
            <rFont val="Tahoma"/>
            <family val="2"/>
          </rPr>
          <t>GROUP B:</t>
        </r>
        <r>
          <rPr>
            <sz val="9"/>
            <color indexed="81"/>
            <rFont val="Tahoma"/>
            <family val="2"/>
          </rPr>
          <t xml:space="preserve">
Requires some training, induction or education of up to a year, or substantial experience of around five years in the role.</t>
        </r>
      </text>
    </comment>
    <comment ref="N15" authorId="0" shapeId="0" xr:uid="{90D1D0CA-E480-4C0B-BC33-1A5308F47F71}">
      <text>
        <r>
          <rPr>
            <b/>
            <sz val="9"/>
            <color indexed="81"/>
            <rFont val="Tahoma"/>
            <family val="2"/>
          </rPr>
          <t>GROUP C:</t>
        </r>
        <r>
          <rPr>
            <sz val="9"/>
            <color indexed="81"/>
            <rFont val="Tahoma"/>
            <family val="2"/>
          </rPr>
          <t xml:space="preserve">
Requires three to four years of formal education and are associated
with junior non-medical professions (e.g. occupational therapists).</t>
        </r>
      </text>
    </comment>
    <comment ref="O15" authorId="0" shapeId="0" xr:uid="{94E2BFD7-E56B-478C-A067-8B0071C8A61C}">
      <text>
        <r>
          <rPr>
            <b/>
            <sz val="9"/>
            <color indexed="81"/>
            <rFont val="Tahoma"/>
            <family val="2"/>
          </rPr>
          <t>GROUP D:</t>
        </r>
        <r>
          <rPr>
            <sz val="9"/>
            <color indexed="81"/>
            <rFont val="Tahoma"/>
            <family val="2"/>
          </rPr>
          <t xml:space="preserve">
Requires either four to six years of formal education or three to four years education together with substantial experience. These activities are associated with technical or scientific professionals such as pharmacists or senior non-medical professions (Agenda for Change bands 7-8).</t>
        </r>
      </text>
    </comment>
    <comment ref="P15" authorId="0" shapeId="0" xr:uid="{DCBA765F-0AC7-4F7A-80E0-D512D9BB445B}">
      <text>
        <r>
          <rPr>
            <b/>
            <sz val="9"/>
            <color indexed="81"/>
            <rFont val="Tahoma"/>
            <family val="2"/>
          </rPr>
          <t xml:space="preserve">GROUP E:
</t>
        </r>
        <r>
          <rPr>
            <sz val="9"/>
            <color indexed="81"/>
            <rFont val="Tahoma"/>
            <family val="2"/>
          </rPr>
          <t>Requires over six years of formal education and are generally associated with junior medical and dental staff.</t>
        </r>
      </text>
    </comment>
    <comment ref="Q15" authorId="0" shapeId="0" xr:uid="{1C9E96C4-3938-4850-BB6A-8750D2621CC1}">
      <text>
        <r>
          <rPr>
            <b/>
            <sz val="9"/>
            <color indexed="81"/>
            <rFont val="Tahoma"/>
            <family val="2"/>
          </rPr>
          <t>GROUP F:</t>
        </r>
        <r>
          <rPr>
            <sz val="9"/>
            <color indexed="81"/>
            <rFont val="Tahoma"/>
            <family val="2"/>
          </rPr>
          <t xml:space="preserve">
Requires over six years of formal education and significant experience in post. These skills are associated with consultant and associate specialist grade medical and dental staff.</t>
        </r>
      </text>
    </comment>
    <comment ref="B16" authorId="0" shapeId="0" xr:uid="{56489C49-5D7C-404D-8F2A-513C3D5C4804}">
      <text>
        <r>
          <rPr>
            <b/>
            <sz val="9"/>
            <color indexed="81"/>
            <rFont val="Tahoma"/>
            <family val="2"/>
          </rPr>
          <t>PREVENT:</t>
        </r>
        <r>
          <rPr>
            <sz val="9"/>
            <color indexed="81"/>
            <rFont val="Tahoma"/>
            <family val="2"/>
          </rPr>
          <t xml:space="preserve">
Reduce the instance or incidence of ill health and demand for care.
</t>
        </r>
        <r>
          <rPr>
            <b/>
            <sz val="9"/>
            <color indexed="81"/>
            <rFont val="Tahoma"/>
            <family val="2"/>
          </rPr>
          <t>ENABLE:</t>
        </r>
        <r>
          <rPr>
            <sz val="9"/>
            <color indexed="81"/>
            <rFont val="Tahoma"/>
            <family val="2"/>
          </rPr>
          <t xml:space="preserve">
Increase the control and capacity service users have to improve their situation.
</t>
        </r>
        <r>
          <rPr>
            <b/>
            <sz val="9"/>
            <color indexed="81"/>
            <rFont val="Tahoma"/>
            <family val="2"/>
          </rPr>
          <t>REHABILITATE:</t>
        </r>
        <r>
          <rPr>
            <sz val="9"/>
            <color indexed="81"/>
            <rFont val="Tahoma"/>
            <family val="2"/>
          </rPr>
          <t xml:space="preserve">
Restore functionality, independence, articipation and even purpose of service user.</t>
        </r>
      </text>
    </comment>
    <comment ref="K16" authorId="0" shapeId="0" xr:uid="{1E6D6881-FDC1-4E9C-811B-70E3C07EEC1E}">
      <text>
        <r>
          <rPr>
            <b/>
            <sz val="9"/>
            <color indexed="81"/>
            <rFont val="Tahoma"/>
            <family val="2"/>
          </rPr>
          <t>PREVENT:</t>
        </r>
        <r>
          <rPr>
            <sz val="9"/>
            <color indexed="81"/>
            <rFont val="Tahoma"/>
            <family val="2"/>
          </rPr>
          <t xml:space="preserve">
Reduce the instance or incidence of ill health and demand for care.
</t>
        </r>
        <r>
          <rPr>
            <b/>
            <sz val="9"/>
            <color indexed="81"/>
            <rFont val="Tahoma"/>
            <family val="2"/>
          </rPr>
          <t>ENABLE:</t>
        </r>
        <r>
          <rPr>
            <sz val="9"/>
            <color indexed="81"/>
            <rFont val="Tahoma"/>
            <family val="2"/>
          </rPr>
          <t xml:space="preserve">
Increase the control and capacity service users have to improve their situation.
</t>
        </r>
        <r>
          <rPr>
            <b/>
            <sz val="9"/>
            <color indexed="81"/>
            <rFont val="Tahoma"/>
            <family val="2"/>
          </rPr>
          <t>REHABILITATE:</t>
        </r>
        <r>
          <rPr>
            <sz val="9"/>
            <color indexed="81"/>
            <rFont val="Tahoma"/>
            <family val="2"/>
          </rPr>
          <t xml:space="preserve">
Restore functionality, independence, articipation and even purpose of service user.</t>
        </r>
      </text>
    </comment>
    <comment ref="B17" authorId="0" shapeId="0" xr:uid="{CFBF5994-442D-4EA1-9E03-C8491D6C2E96}">
      <text>
        <r>
          <rPr>
            <b/>
            <sz val="9"/>
            <color indexed="81"/>
            <rFont val="Tahoma"/>
            <family val="2"/>
          </rPr>
          <t xml:space="preserve">ASSESS:
</t>
        </r>
        <r>
          <rPr>
            <sz val="9"/>
            <color indexed="81"/>
            <rFont val="Tahoma"/>
            <family val="2"/>
          </rPr>
          <t xml:space="preserve">Identify and understand a presenting problem, including evaluations.
</t>
        </r>
        <r>
          <rPr>
            <b/>
            <sz val="9"/>
            <color indexed="81"/>
            <rFont val="Tahoma"/>
            <family val="2"/>
          </rPr>
          <t>PLAN:</t>
        </r>
        <r>
          <rPr>
            <sz val="9"/>
            <color indexed="81"/>
            <rFont val="Tahoma"/>
            <family val="2"/>
          </rPr>
          <t xml:space="preserve">
Define the package of skills required to meet service user needs.</t>
        </r>
      </text>
    </comment>
    <comment ref="K17" authorId="0" shapeId="0" xr:uid="{8A91C3D3-406C-4C27-A84B-9D7FB0205330}">
      <text>
        <r>
          <rPr>
            <b/>
            <sz val="9"/>
            <color indexed="81"/>
            <rFont val="Tahoma"/>
            <family val="2"/>
          </rPr>
          <t xml:space="preserve">ASSESS:
</t>
        </r>
        <r>
          <rPr>
            <sz val="9"/>
            <color indexed="81"/>
            <rFont val="Tahoma"/>
            <family val="2"/>
          </rPr>
          <t xml:space="preserve">Identify and understand a presenting problem, including evaluations.
</t>
        </r>
        <r>
          <rPr>
            <b/>
            <sz val="9"/>
            <color indexed="81"/>
            <rFont val="Tahoma"/>
            <family val="2"/>
          </rPr>
          <t>PLAN:</t>
        </r>
        <r>
          <rPr>
            <sz val="9"/>
            <color indexed="81"/>
            <rFont val="Tahoma"/>
            <family val="2"/>
          </rPr>
          <t xml:space="preserve">
Define the package of skills required to meet service user needs.</t>
        </r>
      </text>
    </comment>
    <comment ref="B18" authorId="0" shapeId="0" xr:uid="{070147AE-EEC6-40C3-A4D4-97C8341A539E}">
      <text>
        <r>
          <rPr>
            <b/>
            <sz val="9"/>
            <color indexed="81"/>
            <rFont val="Tahoma"/>
            <family val="2"/>
          </rPr>
          <t xml:space="preserve">TREAT:
</t>
        </r>
        <r>
          <rPr>
            <sz val="9"/>
            <color indexed="81"/>
            <rFont val="Tahoma"/>
            <family val="2"/>
          </rPr>
          <t xml:space="preserve">Change the condition and restore the service user to good, or improved health.
</t>
        </r>
        <r>
          <rPr>
            <b/>
            <sz val="9"/>
            <color indexed="81"/>
            <rFont val="Tahoma"/>
            <family val="2"/>
          </rPr>
          <t>RELIEVE:</t>
        </r>
        <r>
          <rPr>
            <sz val="9"/>
            <color indexed="81"/>
            <rFont val="Tahoma"/>
            <family val="2"/>
          </rPr>
          <t xml:space="preserve">
Assist service users by abating symptoms of ill-health and distress and meet support needs</t>
        </r>
      </text>
    </comment>
    <comment ref="K18" authorId="0" shapeId="0" xr:uid="{4729FF85-99D1-4190-A11D-B9209CEB5D0F}">
      <text>
        <r>
          <rPr>
            <b/>
            <sz val="9"/>
            <color indexed="81"/>
            <rFont val="Tahoma"/>
            <family val="2"/>
          </rPr>
          <t xml:space="preserve">TREAT:
</t>
        </r>
        <r>
          <rPr>
            <sz val="9"/>
            <color indexed="81"/>
            <rFont val="Tahoma"/>
            <family val="2"/>
          </rPr>
          <t xml:space="preserve">Change the condition and restore the service user to good, or improved health.
</t>
        </r>
        <r>
          <rPr>
            <b/>
            <sz val="9"/>
            <color indexed="81"/>
            <rFont val="Tahoma"/>
            <family val="2"/>
          </rPr>
          <t>RELIEVE:</t>
        </r>
        <r>
          <rPr>
            <sz val="9"/>
            <color indexed="81"/>
            <rFont val="Tahoma"/>
            <family val="2"/>
          </rPr>
          <t xml:space="preserve">
Assist service users by abating symptoms of ill-health and distress and meet support needs</t>
        </r>
      </text>
    </comment>
    <comment ref="B19" authorId="0" shapeId="0" xr:uid="{C8531648-94FD-4A02-A821-1DBF8AA22024}">
      <text>
        <r>
          <rPr>
            <b/>
            <sz val="9"/>
            <color indexed="81"/>
            <rFont val="Tahoma"/>
            <family val="2"/>
          </rPr>
          <t xml:space="preserve">LINK:
</t>
        </r>
        <r>
          <rPr>
            <sz val="9"/>
            <color indexed="81"/>
            <rFont val="Tahoma"/>
            <family val="2"/>
          </rPr>
          <t>Connect different sectors, services, workforces and their skills around a holistic understanding of the needs of the service user.</t>
        </r>
      </text>
    </comment>
    <comment ref="K19" authorId="0" shapeId="0" xr:uid="{40F6E413-8091-4998-90BA-9DFB1C5A254E}">
      <text>
        <r>
          <rPr>
            <b/>
            <sz val="9"/>
            <color indexed="81"/>
            <rFont val="Tahoma"/>
            <family val="2"/>
          </rPr>
          <t xml:space="preserve">LINK:
</t>
        </r>
        <r>
          <rPr>
            <sz val="9"/>
            <color indexed="81"/>
            <rFont val="Tahoma"/>
            <family val="2"/>
          </rPr>
          <t>Connect different sectors, services, workforces and their skills around a holistic understanding of the needs of the service user.</t>
        </r>
      </text>
    </comment>
    <comment ref="C27" authorId="0" shapeId="0" xr:uid="{72D3A21A-523A-43C5-BF15-659CCFD81582}">
      <text>
        <r>
          <rPr>
            <b/>
            <sz val="9"/>
            <color indexed="81"/>
            <rFont val="Tahoma"/>
            <family val="2"/>
          </rPr>
          <t>GROUP A:</t>
        </r>
        <r>
          <rPr>
            <sz val="9"/>
            <color indexed="81"/>
            <rFont val="Tahoma"/>
            <family val="2"/>
          </rPr>
          <t xml:space="preserve">
Requires no training at all and generally will not involve complex technology.</t>
        </r>
      </text>
    </comment>
    <comment ref="D27" authorId="0" shapeId="0" xr:uid="{4A823EB1-80DF-4902-A14E-BB3AB0AE7550}">
      <text>
        <r>
          <rPr>
            <b/>
            <sz val="9"/>
            <color indexed="81"/>
            <rFont val="Tahoma"/>
            <family val="2"/>
          </rPr>
          <t>GROUP B:</t>
        </r>
        <r>
          <rPr>
            <sz val="9"/>
            <color indexed="81"/>
            <rFont val="Tahoma"/>
            <family val="2"/>
          </rPr>
          <t xml:space="preserve">
Requires some training, induction or education of up to a year, or substantial experience of around five years in the role.</t>
        </r>
      </text>
    </comment>
    <comment ref="E27" authorId="0" shapeId="0" xr:uid="{15538BC0-E98C-4F2F-9664-21095BAA2A1E}">
      <text>
        <r>
          <rPr>
            <b/>
            <sz val="9"/>
            <color indexed="81"/>
            <rFont val="Tahoma"/>
            <family val="2"/>
          </rPr>
          <t>GROUP C:</t>
        </r>
        <r>
          <rPr>
            <sz val="9"/>
            <color indexed="81"/>
            <rFont val="Tahoma"/>
            <family val="2"/>
          </rPr>
          <t xml:space="preserve">
Requires three to four years of formal education and are associated
with junior non-medical professions (e.g. occupational therapists).</t>
        </r>
      </text>
    </comment>
    <comment ref="F27" authorId="0" shapeId="0" xr:uid="{3FAD43B3-CF0C-4EAA-A758-3F1AAB9F8F5C}">
      <text>
        <r>
          <rPr>
            <b/>
            <sz val="9"/>
            <color indexed="81"/>
            <rFont val="Tahoma"/>
            <family val="2"/>
          </rPr>
          <t>GROUP D:</t>
        </r>
        <r>
          <rPr>
            <sz val="9"/>
            <color indexed="81"/>
            <rFont val="Tahoma"/>
            <family val="2"/>
          </rPr>
          <t xml:space="preserve">
Requires either four to six years of formal education or three to four years education together with substantial experience. These activities are associated with technical or scientific professionals such as pharmacists or senior non-medical professions (Agenda for Change bands 7-8).</t>
        </r>
      </text>
    </comment>
    <comment ref="G27" authorId="0" shapeId="0" xr:uid="{D507F352-7FD1-4A0A-B5F3-29DEE498764F}">
      <text>
        <r>
          <rPr>
            <b/>
            <sz val="9"/>
            <color indexed="81"/>
            <rFont val="Tahoma"/>
            <family val="2"/>
          </rPr>
          <t xml:space="preserve">GROUP E:
</t>
        </r>
        <r>
          <rPr>
            <sz val="9"/>
            <color indexed="81"/>
            <rFont val="Tahoma"/>
            <family val="2"/>
          </rPr>
          <t>Requires over six years of formal education and are generally associated with junior medical and dental staff.</t>
        </r>
      </text>
    </comment>
    <comment ref="H27" authorId="0" shapeId="0" xr:uid="{F22ADE61-A2DF-438B-BA05-25402C3350CA}">
      <text>
        <r>
          <rPr>
            <b/>
            <sz val="9"/>
            <color indexed="81"/>
            <rFont val="Tahoma"/>
            <family val="2"/>
          </rPr>
          <t>GROUP F:</t>
        </r>
        <r>
          <rPr>
            <sz val="9"/>
            <color indexed="81"/>
            <rFont val="Tahoma"/>
            <family val="2"/>
          </rPr>
          <t xml:space="preserve">
Requires over six years of formal education and significant experience in post. These skills are associated with consultant and associate specialist grade medical and dental staff.</t>
        </r>
      </text>
    </comment>
    <comment ref="L27" authorId="0" shapeId="0" xr:uid="{2C8DD84B-688B-4436-BF5F-0841D49E529E}">
      <text>
        <r>
          <rPr>
            <b/>
            <sz val="9"/>
            <color indexed="81"/>
            <rFont val="Tahoma"/>
            <family val="2"/>
          </rPr>
          <t>GROUP A:</t>
        </r>
        <r>
          <rPr>
            <sz val="9"/>
            <color indexed="81"/>
            <rFont val="Tahoma"/>
            <family val="2"/>
          </rPr>
          <t xml:space="preserve">
Requires no training at all and generally will not involve complex technology.</t>
        </r>
      </text>
    </comment>
    <comment ref="M27" authorId="0" shapeId="0" xr:uid="{FD63B360-7BC1-4FF9-A291-05E08E794063}">
      <text>
        <r>
          <rPr>
            <b/>
            <sz val="9"/>
            <color indexed="81"/>
            <rFont val="Tahoma"/>
            <family val="2"/>
          </rPr>
          <t>GROUP B:</t>
        </r>
        <r>
          <rPr>
            <sz val="9"/>
            <color indexed="81"/>
            <rFont val="Tahoma"/>
            <family val="2"/>
          </rPr>
          <t xml:space="preserve">
Requires some training, induction or education of up to a year, or substantial experience of around five years in the role.</t>
        </r>
      </text>
    </comment>
    <comment ref="N27" authorId="0" shapeId="0" xr:uid="{8B0F9F62-D661-433E-A54A-786D5B978C02}">
      <text>
        <r>
          <rPr>
            <b/>
            <sz val="9"/>
            <color indexed="81"/>
            <rFont val="Tahoma"/>
            <family val="2"/>
          </rPr>
          <t>GROUP C:</t>
        </r>
        <r>
          <rPr>
            <sz val="9"/>
            <color indexed="81"/>
            <rFont val="Tahoma"/>
            <family val="2"/>
          </rPr>
          <t xml:space="preserve">
Requires three to four years of formal education and are associated
with junior non-medical professions (e.g. occupational therapists).</t>
        </r>
      </text>
    </comment>
    <comment ref="O27" authorId="0" shapeId="0" xr:uid="{7F47C991-F326-4ADC-A5A0-30AA04CEC069}">
      <text>
        <r>
          <rPr>
            <b/>
            <sz val="9"/>
            <color indexed="81"/>
            <rFont val="Tahoma"/>
            <family val="2"/>
          </rPr>
          <t>GROUP D:</t>
        </r>
        <r>
          <rPr>
            <sz val="9"/>
            <color indexed="81"/>
            <rFont val="Tahoma"/>
            <family val="2"/>
          </rPr>
          <t xml:space="preserve">
Requires either four to six years of formal education or three to four years education together with substantial experience. These activities are associated with technical or scientific professionals such as pharmacists or senior non-medical professions (Agenda for Change bands 7-8).</t>
        </r>
      </text>
    </comment>
    <comment ref="P27" authorId="0" shapeId="0" xr:uid="{C2337BA3-F6B9-43F1-9C74-1128B4E5EABA}">
      <text>
        <r>
          <rPr>
            <b/>
            <sz val="9"/>
            <color indexed="81"/>
            <rFont val="Tahoma"/>
            <family val="2"/>
          </rPr>
          <t xml:space="preserve">GROUP E:
</t>
        </r>
        <r>
          <rPr>
            <sz val="9"/>
            <color indexed="81"/>
            <rFont val="Tahoma"/>
            <family val="2"/>
          </rPr>
          <t>Requires over six years of formal education and are generally associated with junior medical and dental staff.</t>
        </r>
      </text>
    </comment>
    <comment ref="Q27" authorId="0" shapeId="0" xr:uid="{7B7C6903-BD95-4C25-8484-5921727C72BD}">
      <text>
        <r>
          <rPr>
            <b/>
            <sz val="9"/>
            <color indexed="81"/>
            <rFont val="Tahoma"/>
            <family val="2"/>
          </rPr>
          <t>GROUP F:</t>
        </r>
        <r>
          <rPr>
            <sz val="9"/>
            <color indexed="81"/>
            <rFont val="Tahoma"/>
            <family val="2"/>
          </rPr>
          <t xml:space="preserve">
Requires over six years of formal education and significant experience in post. These skills are associated with consultant and associate specialist grade medical and dental staff.</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Richard Blackwell</author>
  </authors>
  <commentList>
    <comment ref="C5" authorId="0" shapeId="0" xr:uid="{E29F600B-1FA2-4DBA-A408-0A09D5385240}">
      <text>
        <r>
          <rPr>
            <b/>
            <sz val="9"/>
            <color indexed="81"/>
            <rFont val="Tahoma"/>
            <family val="2"/>
          </rPr>
          <t>GROUP A:</t>
        </r>
        <r>
          <rPr>
            <sz val="9"/>
            <color indexed="81"/>
            <rFont val="Tahoma"/>
            <family val="2"/>
          </rPr>
          <t xml:space="preserve">
Requires no training at all and generally will not involve complex technology.</t>
        </r>
      </text>
    </comment>
    <comment ref="D5" authorId="0" shapeId="0" xr:uid="{186FBAD6-5752-4351-A102-B133CA7F4AEF}">
      <text>
        <r>
          <rPr>
            <b/>
            <sz val="9"/>
            <color indexed="81"/>
            <rFont val="Tahoma"/>
            <family val="2"/>
          </rPr>
          <t>GROUP B:</t>
        </r>
        <r>
          <rPr>
            <sz val="9"/>
            <color indexed="81"/>
            <rFont val="Tahoma"/>
            <family val="2"/>
          </rPr>
          <t xml:space="preserve">
Requires some training, induction or education of up to a year, or substantial experience of around five years in the role.</t>
        </r>
      </text>
    </comment>
    <comment ref="E5" authorId="0" shapeId="0" xr:uid="{5F5444AC-7C16-4F13-BBFB-041B5E7F392D}">
      <text>
        <r>
          <rPr>
            <b/>
            <sz val="9"/>
            <color indexed="81"/>
            <rFont val="Tahoma"/>
            <family val="2"/>
          </rPr>
          <t>GROUP C:</t>
        </r>
        <r>
          <rPr>
            <sz val="9"/>
            <color indexed="81"/>
            <rFont val="Tahoma"/>
            <family val="2"/>
          </rPr>
          <t xml:space="preserve">
Requires three to four years of formal education and are associated
with junior non-medical professions (e.g. occupational therapists).</t>
        </r>
      </text>
    </comment>
    <comment ref="F5" authorId="0" shapeId="0" xr:uid="{FD4831AC-E13F-4BAC-9006-4865FBE2FD7C}">
      <text>
        <r>
          <rPr>
            <b/>
            <sz val="9"/>
            <color indexed="81"/>
            <rFont val="Tahoma"/>
            <family val="2"/>
          </rPr>
          <t>GROUP D:</t>
        </r>
        <r>
          <rPr>
            <sz val="9"/>
            <color indexed="81"/>
            <rFont val="Tahoma"/>
            <family val="2"/>
          </rPr>
          <t xml:space="preserve">
Requires either four to six years of formal education or three to four years education together with substantial experience. These activities are associated with technical or scientific professionals such as pharmacists or senior non-medical professions (Agenda for Change bands 7-8).</t>
        </r>
      </text>
    </comment>
    <comment ref="G5" authorId="0" shapeId="0" xr:uid="{59D48C86-7D9A-4A7B-B3CD-8946F45A417D}">
      <text>
        <r>
          <rPr>
            <b/>
            <sz val="9"/>
            <color indexed="81"/>
            <rFont val="Tahoma"/>
            <family val="2"/>
          </rPr>
          <t xml:space="preserve">GROUP E:
</t>
        </r>
        <r>
          <rPr>
            <sz val="9"/>
            <color indexed="81"/>
            <rFont val="Tahoma"/>
            <family val="2"/>
          </rPr>
          <t>Requires over six years of formal education and are generally associated with junior medical and dental staff.</t>
        </r>
      </text>
    </comment>
    <comment ref="H5" authorId="0" shapeId="0" xr:uid="{7BE42581-6D4B-4C43-BD47-44245F3E2615}">
      <text>
        <r>
          <rPr>
            <b/>
            <sz val="9"/>
            <color indexed="81"/>
            <rFont val="Tahoma"/>
            <family val="2"/>
          </rPr>
          <t>GROUP F:</t>
        </r>
        <r>
          <rPr>
            <sz val="9"/>
            <color indexed="81"/>
            <rFont val="Tahoma"/>
            <family val="2"/>
          </rPr>
          <t xml:space="preserve">
Requires over six years of formal education and significant experience in post. These skills are associated with consultant and associate specialist grade medical and dental staff.</t>
        </r>
      </text>
    </comment>
    <comment ref="L5" authorId="0" shapeId="0" xr:uid="{4E5D3BF1-109F-497C-A800-FB05EA071803}">
      <text>
        <r>
          <rPr>
            <b/>
            <sz val="9"/>
            <color indexed="81"/>
            <rFont val="Tahoma"/>
            <family val="2"/>
          </rPr>
          <t>GROUP A:</t>
        </r>
        <r>
          <rPr>
            <sz val="9"/>
            <color indexed="81"/>
            <rFont val="Tahoma"/>
            <family val="2"/>
          </rPr>
          <t xml:space="preserve">
Requires no training at all and generally will not involve complex technology.</t>
        </r>
      </text>
    </comment>
    <comment ref="M5" authorId="0" shapeId="0" xr:uid="{0F0AE14E-10BA-4471-B5CF-A01FB5203DB1}">
      <text>
        <r>
          <rPr>
            <b/>
            <sz val="9"/>
            <color indexed="81"/>
            <rFont val="Tahoma"/>
            <family val="2"/>
          </rPr>
          <t>GROUP B:</t>
        </r>
        <r>
          <rPr>
            <sz val="9"/>
            <color indexed="81"/>
            <rFont val="Tahoma"/>
            <family val="2"/>
          </rPr>
          <t xml:space="preserve">
Requires some training, induction or education of up to a year, or substantial experience of around five years in the role.</t>
        </r>
      </text>
    </comment>
    <comment ref="N5" authorId="0" shapeId="0" xr:uid="{DECBF507-2368-4E1B-95AF-539AA8E23565}">
      <text>
        <r>
          <rPr>
            <b/>
            <sz val="9"/>
            <color indexed="81"/>
            <rFont val="Tahoma"/>
            <family val="2"/>
          </rPr>
          <t>GROUP C:</t>
        </r>
        <r>
          <rPr>
            <sz val="9"/>
            <color indexed="81"/>
            <rFont val="Tahoma"/>
            <family val="2"/>
          </rPr>
          <t xml:space="preserve">
Requires three to four years of formal education and are associated
with junior non-medical professions (e.g. occupational therapists).</t>
        </r>
      </text>
    </comment>
    <comment ref="O5" authorId="0" shapeId="0" xr:uid="{2873E312-3A36-4AAD-9D2A-762976A7D17F}">
      <text>
        <r>
          <rPr>
            <b/>
            <sz val="9"/>
            <color indexed="81"/>
            <rFont val="Tahoma"/>
            <family val="2"/>
          </rPr>
          <t>GROUP D:</t>
        </r>
        <r>
          <rPr>
            <sz val="9"/>
            <color indexed="81"/>
            <rFont val="Tahoma"/>
            <family val="2"/>
          </rPr>
          <t xml:space="preserve">
Requires either four to six years of formal education or three to four years education together with substantial experience. These activities are associated with technical or scientific professionals such as pharmacists or senior non-medical professions (Agenda for Change bands 7-8).</t>
        </r>
      </text>
    </comment>
    <comment ref="P5" authorId="0" shapeId="0" xr:uid="{36580251-1074-49F4-936D-3017A5A748F6}">
      <text>
        <r>
          <rPr>
            <b/>
            <sz val="9"/>
            <color indexed="81"/>
            <rFont val="Tahoma"/>
            <family val="2"/>
          </rPr>
          <t xml:space="preserve">GROUP E:
</t>
        </r>
        <r>
          <rPr>
            <sz val="9"/>
            <color indexed="81"/>
            <rFont val="Tahoma"/>
            <family val="2"/>
          </rPr>
          <t>Requires over six years of formal education and are generally associated with junior medical and dental staff.</t>
        </r>
      </text>
    </comment>
    <comment ref="Q5" authorId="0" shapeId="0" xr:uid="{8BDB9307-0D47-458F-A5A4-F4BFB5FFAA9C}">
      <text>
        <r>
          <rPr>
            <b/>
            <sz val="9"/>
            <color indexed="81"/>
            <rFont val="Tahoma"/>
            <family val="2"/>
          </rPr>
          <t>GROUP F:</t>
        </r>
        <r>
          <rPr>
            <sz val="9"/>
            <color indexed="81"/>
            <rFont val="Tahoma"/>
            <family val="2"/>
          </rPr>
          <t xml:space="preserve">
Requires over six years of formal education and significant experience in post. These skills are associated with consultant and associate specialist grade medical and dental staff.</t>
        </r>
      </text>
    </comment>
    <comment ref="B6" authorId="0" shapeId="0" xr:uid="{9D186103-2B5A-473C-955B-F1AD185489D7}">
      <text>
        <r>
          <rPr>
            <b/>
            <sz val="9"/>
            <color indexed="81"/>
            <rFont val="Tahoma"/>
            <family val="2"/>
          </rPr>
          <t>PREVENT:</t>
        </r>
        <r>
          <rPr>
            <sz val="9"/>
            <color indexed="81"/>
            <rFont val="Tahoma"/>
            <family val="2"/>
          </rPr>
          <t xml:space="preserve">
Reduce the instance or incidence of ill health and demand for care.
</t>
        </r>
        <r>
          <rPr>
            <b/>
            <sz val="9"/>
            <color indexed="81"/>
            <rFont val="Tahoma"/>
            <family val="2"/>
          </rPr>
          <t>ENABLE:</t>
        </r>
        <r>
          <rPr>
            <sz val="9"/>
            <color indexed="81"/>
            <rFont val="Tahoma"/>
            <family val="2"/>
          </rPr>
          <t xml:space="preserve">
Increase the control and capacity service users have to improve their situation.
</t>
        </r>
        <r>
          <rPr>
            <b/>
            <sz val="9"/>
            <color indexed="81"/>
            <rFont val="Tahoma"/>
            <family val="2"/>
          </rPr>
          <t>REHABILITATE:</t>
        </r>
        <r>
          <rPr>
            <sz val="9"/>
            <color indexed="81"/>
            <rFont val="Tahoma"/>
            <family val="2"/>
          </rPr>
          <t xml:space="preserve">
Restore functionality, independence, articipation and even purpose of service user.</t>
        </r>
      </text>
    </comment>
    <comment ref="K6" authorId="0" shapeId="0" xr:uid="{9493E50A-E20F-4ADE-8627-A835157FC676}">
      <text>
        <r>
          <rPr>
            <b/>
            <sz val="9"/>
            <color indexed="81"/>
            <rFont val="Tahoma"/>
            <family val="2"/>
          </rPr>
          <t>PREVENT:</t>
        </r>
        <r>
          <rPr>
            <sz val="9"/>
            <color indexed="81"/>
            <rFont val="Tahoma"/>
            <family val="2"/>
          </rPr>
          <t xml:space="preserve">
Reduce the instance or incidence of ill health and demand for care.
</t>
        </r>
        <r>
          <rPr>
            <b/>
            <sz val="9"/>
            <color indexed="81"/>
            <rFont val="Tahoma"/>
            <family val="2"/>
          </rPr>
          <t>ENABLE:</t>
        </r>
        <r>
          <rPr>
            <sz val="9"/>
            <color indexed="81"/>
            <rFont val="Tahoma"/>
            <family val="2"/>
          </rPr>
          <t xml:space="preserve">
Increase the control and capacity service users have to improve their situation.
</t>
        </r>
        <r>
          <rPr>
            <b/>
            <sz val="9"/>
            <color indexed="81"/>
            <rFont val="Tahoma"/>
            <family val="2"/>
          </rPr>
          <t>REHABILITATE:</t>
        </r>
        <r>
          <rPr>
            <sz val="9"/>
            <color indexed="81"/>
            <rFont val="Tahoma"/>
            <family val="2"/>
          </rPr>
          <t xml:space="preserve">
Restore functionality, independence, articipation and even purpose of service user.</t>
        </r>
      </text>
    </comment>
    <comment ref="B7" authorId="0" shapeId="0" xr:uid="{AF75BE4A-A2FD-41BD-931B-9C7C46844C6E}">
      <text>
        <r>
          <rPr>
            <b/>
            <sz val="9"/>
            <color indexed="81"/>
            <rFont val="Tahoma"/>
            <family val="2"/>
          </rPr>
          <t xml:space="preserve">ASSESS:
</t>
        </r>
        <r>
          <rPr>
            <sz val="9"/>
            <color indexed="81"/>
            <rFont val="Tahoma"/>
            <family val="2"/>
          </rPr>
          <t xml:space="preserve">Identify and understand a presenting problem, including evaluations.
</t>
        </r>
        <r>
          <rPr>
            <b/>
            <sz val="9"/>
            <color indexed="81"/>
            <rFont val="Tahoma"/>
            <family val="2"/>
          </rPr>
          <t>PLAN:</t>
        </r>
        <r>
          <rPr>
            <sz val="9"/>
            <color indexed="81"/>
            <rFont val="Tahoma"/>
            <family val="2"/>
          </rPr>
          <t xml:space="preserve">
Define the package of skills required to meet service user needs.</t>
        </r>
      </text>
    </comment>
    <comment ref="K7" authorId="0" shapeId="0" xr:uid="{AE79DF92-187F-49C5-8174-4DB0509A8191}">
      <text>
        <r>
          <rPr>
            <b/>
            <sz val="9"/>
            <color indexed="81"/>
            <rFont val="Tahoma"/>
            <family val="2"/>
          </rPr>
          <t xml:space="preserve">ASSESS:
</t>
        </r>
        <r>
          <rPr>
            <sz val="9"/>
            <color indexed="81"/>
            <rFont val="Tahoma"/>
            <family val="2"/>
          </rPr>
          <t xml:space="preserve">Identify and understand a presenting problem, including evaluations.
</t>
        </r>
        <r>
          <rPr>
            <b/>
            <sz val="9"/>
            <color indexed="81"/>
            <rFont val="Tahoma"/>
            <family val="2"/>
          </rPr>
          <t>PLAN:</t>
        </r>
        <r>
          <rPr>
            <sz val="9"/>
            <color indexed="81"/>
            <rFont val="Tahoma"/>
            <family val="2"/>
          </rPr>
          <t xml:space="preserve">
Define the package of skills required to meet service user needs.</t>
        </r>
      </text>
    </comment>
    <comment ref="B8" authorId="0" shapeId="0" xr:uid="{E6696ECE-671D-4ECD-9C8A-057D476AED6C}">
      <text>
        <r>
          <rPr>
            <b/>
            <sz val="9"/>
            <color indexed="81"/>
            <rFont val="Tahoma"/>
            <family val="2"/>
          </rPr>
          <t xml:space="preserve">TREAT:
</t>
        </r>
        <r>
          <rPr>
            <sz val="9"/>
            <color indexed="81"/>
            <rFont val="Tahoma"/>
            <family val="2"/>
          </rPr>
          <t xml:space="preserve">Change the condition and restore the service user to good, or improved health.
</t>
        </r>
        <r>
          <rPr>
            <b/>
            <sz val="9"/>
            <color indexed="81"/>
            <rFont val="Tahoma"/>
            <family val="2"/>
          </rPr>
          <t>RELIEVE:</t>
        </r>
        <r>
          <rPr>
            <sz val="9"/>
            <color indexed="81"/>
            <rFont val="Tahoma"/>
            <family val="2"/>
          </rPr>
          <t xml:space="preserve">
Assist service users by abating symptoms of ill-health and distress and meet support needs</t>
        </r>
      </text>
    </comment>
    <comment ref="K8" authorId="0" shapeId="0" xr:uid="{A728E9AA-8751-4BDC-95D7-4581BA87EE32}">
      <text>
        <r>
          <rPr>
            <b/>
            <sz val="9"/>
            <color indexed="81"/>
            <rFont val="Tahoma"/>
            <family val="2"/>
          </rPr>
          <t xml:space="preserve">TREAT:
</t>
        </r>
        <r>
          <rPr>
            <sz val="9"/>
            <color indexed="81"/>
            <rFont val="Tahoma"/>
            <family val="2"/>
          </rPr>
          <t xml:space="preserve">Change the condition and restore the service user to good, or improved health.
</t>
        </r>
        <r>
          <rPr>
            <b/>
            <sz val="9"/>
            <color indexed="81"/>
            <rFont val="Tahoma"/>
            <family val="2"/>
          </rPr>
          <t>RELIEVE:</t>
        </r>
        <r>
          <rPr>
            <sz val="9"/>
            <color indexed="81"/>
            <rFont val="Tahoma"/>
            <family val="2"/>
          </rPr>
          <t xml:space="preserve">
Assist service users by abating symptoms of ill-health and distress and meet support needs</t>
        </r>
      </text>
    </comment>
    <comment ref="B9" authorId="0" shapeId="0" xr:uid="{1908248D-50B5-4FAA-81CD-76AC73F2B5CA}">
      <text>
        <r>
          <rPr>
            <b/>
            <sz val="9"/>
            <color indexed="81"/>
            <rFont val="Tahoma"/>
            <family val="2"/>
          </rPr>
          <t xml:space="preserve">LINK:
</t>
        </r>
        <r>
          <rPr>
            <sz val="9"/>
            <color indexed="81"/>
            <rFont val="Tahoma"/>
            <family val="2"/>
          </rPr>
          <t>Connect different sectors, services, workforces and their skills around a holistic understanding of the needs of the service user.</t>
        </r>
      </text>
    </comment>
    <comment ref="K9" authorId="0" shapeId="0" xr:uid="{9CA373B1-3C70-4286-9630-C2B2D5DA3990}">
      <text>
        <r>
          <rPr>
            <b/>
            <sz val="9"/>
            <color indexed="81"/>
            <rFont val="Tahoma"/>
            <family val="2"/>
          </rPr>
          <t xml:space="preserve">LINK:
</t>
        </r>
        <r>
          <rPr>
            <sz val="9"/>
            <color indexed="81"/>
            <rFont val="Tahoma"/>
            <family val="2"/>
          </rPr>
          <t>Connect different sectors, services, workforces and their skills around a holistic understanding of the needs of the service user.</t>
        </r>
      </text>
    </comment>
    <comment ref="C15" authorId="0" shapeId="0" xr:uid="{C7902A54-D89B-47C9-AD18-12A9D6197889}">
      <text>
        <r>
          <rPr>
            <b/>
            <sz val="9"/>
            <color indexed="81"/>
            <rFont val="Tahoma"/>
            <family val="2"/>
          </rPr>
          <t>GROUP A:</t>
        </r>
        <r>
          <rPr>
            <sz val="9"/>
            <color indexed="81"/>
            <rFont val="Tahoma"/>
            <family val="2"/>
          </rPr>
          <t xml:space="preserve">
Requires no training at all and generally will not involve complex technology.</t>
        </r>
      </text>
    </comment>
    <comment ref="D15" authorId="0" shapeId="0" xr:uid="{79216FD5-85DE-4957-B6F1-27AC17F2636F}">
      <text>
        <r>
          <rPr>
            <b/>
            <sz val="9"/>
            <color indexed="81"/>
            <rFont val="Tahoma"/>
            <family val="2"/>
          </rPr>
          <t>GROUP B:</t>
        </r>
        <r>
          <rPr>
            <sz val="9"/>
            <color indexed="81"/>
            <rFont val="Tahoma"/>
            <family val="2"/>
          </rPr>
          <t xml:space="preserve">
Requires some training, induction or education of up to a year, or substantial experience of around five years in the role.</t>
        </r>
      </text>
    </comment>
    <comment ref="E15" authorId="0" shapeId="0" xr:uid="{36B88B61-CB0A-4A18-BD4B-350DEB35ED57}">
      <text>
        <r>
          <rPr>
            <b/>
            <sz val="9"/>
            <color indexed="81"/>
            <rFont val="Tahoma"/>
            <family val="2"/>
          </rPr>
          <t>GROUP C:</t>
        </r>
        <r>
          <rPr>
            <sz val="9"/>
            <color indexed="81"/>
            <rFont val="Tahoma"/>
            <family val="2"/>
          </rPr>
          <t xml:space="preserve">
Requires three to four years of formal education and are associated
with junior non-medical professions (e.g. occupational therapists).</t>
        </r>
      </text>
    </comment>
    <comment ref="F15" authorId="0" shapeId="0" xr:uid="{34FE069C-C3C0-4A5E-915E-886114EB8674}">
      <text>
        <r>
          <rPr>
            <b/>
            <sz val="9"/>
            <color indexed="81"/>
            <rFont val="Tahoma"/>
            <family val="2"/>
          </rPr>
          <t>GROUP D:</t>
        </r>
        <r>
          <rPr>
            <sz val="9"/>
            <color indexed="81"/>
            <rFont val="Tahoma"/>
            <family val="2"/>
          </rPr>
          <t xml:space="preserve">
Requires either four to six years of formal education or three to four years education together with substantial experience. These activities are associated with technical or scientific professionals such as pharmacists or senior non-medical professions (Agenda for Change bands 7-8).</t>
        </r>
      </text>
    </comment>
    <comment ref="G15" authorId="0" shapeId="0" xr:uid="{4C52BEC7-7D70-4E90-8F29-4A613B84C587}">
      <text>
        <r>
          <rPr>
            <b/>
            <sz val="9"/>
            <color indexed="81"/>
            <rFont val="Tahoma"/>
            <family val="2"/>
          </rPr>
          <t xml:space="preserve">GROUP E:
</t>
        </r>
        <r>
          <rPr>
            <sz val="9"/>
            <color indexed="81"/>
            <rFont val="Tahoma"/>
            <family val="2"/>
          </rPr>
          <t>Requires over six years of formal education and are generally associated with junior medical and dental staff.</t>
        </r>
      </text>
    </comment>
    <comment ref="H15" authorId="0" shapeId="0" xr:uid="{5C496B2D-9B54-42F5-8119-FF74FD165584}">
      <text>
        <r>
          <rPr>
            <b/>
            <sz val="9"/>
            <color indexed="81"/>
            <rFont val="Tahoma"/>
            <family val="2"/>
          </rPr>
          <t>GROUP F:</t>
        </r>
        <r>
          <rPr>
            <sz val="9"/>
            <color indexed="81"/>
            <rFont val="Tahoma"/>
            <family val="2"/>
          </rPr>
          <t xml:space="preserve">
Requires over six years of formal education and significant experience in post. These skills are associated with consultant and associate specialist grade medical and dental staff.</t>
        </r>
      </text>
    </comment>
    <comment ref="L15" authorId="0" shapeId="0" xr:uid="{96BA541E-CEAB-4C53-86C6-81C66A88972D}">
      <text>
        <r>
          <rPr>
            <b/>
            <sz val="9"/>
            <color indexed="81"/>
            <rFont val="Tahoma"/>
            <family val="2"/>
          </rPr>
          <t>GROUP A:</t>
        </r>
        <r>
          <rPr>
            <sz val="9"/>
            <color indexed="81"/>
            <rFont val="Tahoma"/>
            <family val="2"/>
          </rPr>
          <t xml:space="preserve">
Requires no training at all and generally will not involve complex technology.</t>
        </r>
      </text>
    </comment>
    <comment ref="M15" authorId="0" shapeId="0" xr:uid="{5E43B886-50CA-445C-88CA-2AFD62B82F41}">
      <text>
        <r>
          <rPr>
            <b/>
            <sz val="9"/>
            <color indexed="81"/>
            <rFont val="Tahoma"/>
            <family val="2"/>
          </rPr>
          <t>GROUP B:</t>
        </r>
        <r>
          <rPr>
            <sz val="9"/>
            <color indexed="81"/>
            <rFont val="Tahoma"/>
            <family val="2"/>
          </rPr>
          <t xml:space="preserve">
Requires some training, induction or education of up to a year, or substantial experience of around five years in the role.</t>
        </r>
      </text>
    </comment>
    <comment ref="N15" authorId="0" shapeId="0" xr:uid="{55B0C2A5-C21E-479F-9F0E-2B2AA07E12D7}">
      <text>
        <r>
          <rPr>
            <b/>
            <sz val="9"/>
            <color indexed="81"/>
            <rFont val="Tahoma"/>
            <family val="2"/>
          </rPr>
          <t>GROUP C:</t>
        </r>
        <r>
          <rPr>
            <sz val="9"/>
            <color indexed="81"/>
            <rFont val="Tahoma"/>
            <family val="2"/>
          </rPr>
          <t xml:space="preserve">
Requires three to four years of formal education and are associated
with junior non-medical professions (e.g. occupational therapists).</t>
        </r>
      </text>
    </comment>
    <comment ref="O15" authorId="0" shapeId="0" xr:uid="{560F297E-849F-4371-9164-2CEED7AB5E53}">
      <text>
        <r>
          <rPr>
            <b/>
            <sz val="9"/>
            <color indexed="81"/>
            <rFont val="Tahoma"/>
            <family val="2"/>
          </rPr>
          <t>GROUP D:</t>
        </r>
        <r>
          <rPr>
            <sz val="9"/>
            <color indexed="81"/>
            <rFont val="Tahoma"/>
            <family val="2"/>
          </rPr>
          <t xml:space="preserve">
Requires either four to six years of formal education or three to four years education together with substantial experience. These activities are associated with technical or scientific professionals such as pharmacists or senior non-medical professions (Agenda for Change bands 7-8).</t>
        </r>
      </text>
    </comment>
    <comment ref="P15" authorId="0" shapeId="0" xr:uid="{4F254839-C060-4AA8-95A6-402FDFD920A0}">
      <text>
        <r>
          <rPr>
            <b/>
            <sz val="9"/>
            <color indexed="81"/>
            <rFont val="Tahoma"/>
            <family val="2"/>
          </rPr>
          <t xml:space="preserve">GROUP E:
</t>
        </r>
        <r>
          <rPr>
            <sz val="9"/>
            <color indexed="81"/>
            <rFont val="Tahoma"/>
            <family val="2"/>
          </rPr>
          <t>Requires over six years of formal education and are generally associated with junior medical and dental staff.</t>
        </r>
      </text>
    </comment>
    <comment ref="Q15" authorId="0" shapeId="0" xr:uid="{350FEA7B-A6B6-42D7-9067-89760272FBB4}">
      <text>
        <r>
          <rPr>
            <b/>
            <sz val="9"/>
            <color indexed="81"/>
            <rFont val="Tahoma"/>
            <family val="2"/>
          </rPr>
          <t>GROUP F:</t>
        </r>
        <r>
          <rPr>
            <sz val="9"/>
            <color indexed="81"/>
            <rFont val="Tahoma"/>
            <family val="2"/>
          </rPr>
          <t xml:space="preserve">
Requires over six years of formal education and significant experience in post. These skills are associated with consultant and associate specialist grade medical and dental staff.</t>
        </r>
      </text>
    </comment>
    <comment ref="B16" authorId="0" shapeId="0" xr:uid="{8847FEE3-403E-4865-A61C-1FD6F0BB872F}">
      <text>
        <r>
          <rPr>
            <b/>
            <sz val="9"/>
            <color indexed="81"/>
            <rFont val="Tahoma"/>
            <family val="2"/>
          </rPr>
          <t>PREVENT:</t>
        </r>
        <r>
          <rPr>
            <sz val="9"/>
            <color indexed="81"/>
            <rFont val="Tahoma"/>
            <family val="2"/>
          </rPr>
          <t xml:space="preserve">
Reduce the instance or incidence of ill health and demand for care.
</t>
        </r>
        <r>
          <rPr>
            <b/>
            <sz val="9"/>
            <color indexed="81"/>
            <rFont val="Tahoma"/>
            <family val="2"/>
          </rPr>
          <t>ENABLE:</t>
        </r>
        <r>
          <rPr>
            <sz val="9"/>
            <color indexed="81"/>
            <rFont val="Tahoma"/>
            <family val="2"/>
          </rPr>
          <t xml:space="preserve">
Increase the control and capacity service users have to improve their situation.
</t>
        </r>
        <r>
          <rPr>
            <b/>
            <sz val="9"/>
            <color indexed="81"/>
            <rFont val="Tahoma"/>
            <family val="2"/>
          </rPr>
          <t>REHABILITATE:</t>
        </r>
        <r>
          <rPr>
            <sz val="9"/>
            <color indexed="81"/>
            <rFont val="Tahoma"/>
            <family val="2"/>
          </rPr>
          <t xml:space="preserve">
Restore functionality, independence, articipation and even purpose of service user.</t>
        </r>
      </text>
    </comment>
    <comment ref="K16" authorId="0" shapeId="0" xr:uid="{246206F1-D268-4398-AAFA-74202EA91522}">
      <text>
        <r>
          <rPr>
            <b/>
            <sz val="9"/>
            <color indexed="81"/>
            <rFont val="Tahoma"/>
            <family val="2"/>
          </rPr>
          <t>PREVENT:</t>
        </r>
        <r>
          <rPr>
            <sz val="9"/>
            <color indexed="81"/>
            <rFont val="Tahoma"/>
            <family val="2"/>
          </rPr>
          <t xml:space="preserve">
Reduce the instance or incidence of ill health and demand for care.
</t>
        </r>
        <r>
          <rPr>
            <b/>
            <sz val="9"/>
            <color indexed="81"/>
            <rFont val="Tahoma"/>
            <family val="2"/>
          </rPr>
          <t>ENABLE:</t>
        </r>
        <r>
          <rPr>
            <sz val="9"/>
            <color indexed="81"/>
            <rFont val="Tahoma"/>
            <family val="2"/>
          </rPr>
          <t xml:space="preserve">
Increase the control and capacity service users have to improve their situation.
</t>
        </r>
        <r>
          <rPr>
            <b/>
            <sz val="9"/>
            <color indexed="81"/>
            <rFont val="Tahoma"/>
            <family val="2"/>
          </rPr>
          <t>REHABILITATE:</t>
        </r>
        <r>
          <rPr>
            <sz val="9"/>
            <color indexed="81"/>
            <rFont val="Tahoma"/>
            <family val="2"/>
          </rPr>
          <t xml:space="preserve">
Restore functionality, independence, articipation and even purpose of service user.</t>
        </r>
      </text>
    </comment>
    <comment ref="B17" authorId="0" shapeId="0" xr:uid="{F1F30C68-036F-425B-8964-56C5DE556687}">
      <text>
        <r>
          <rPr>
            <b/>
            <sz val="9"/>
            <color indexed="81"/>
            <rFont val="Tahoma"/>
            <family val="2"/>
          </rPr>
          <t xml:space="preserve">ASSESS:
</t>
        </r>
        <r>
          <rPr>
            <sz val="9"/>
            <color indexed="81"/>
            <rFont val="Tahoma"/>
            <family val="2"/>
          </rPr>
          <t xml:space="preserve">Identify and understand a presenting problem, including evaluations.
</t>
        </r>
        <r>
          <rPr>
            <b/>
            <sz val="9"/>
            <color indexed="81"/>
            <rFont val="Tahoma"/>
            <family val="2"/>
          </rPr>
          <t>PLAN:</t>
        </r>
        <r>
          <rPr>
            <sz val="9"/>
            <color indexed="81"/>
            <rFont val="Tahoma"/>
            <family val="2"/>
          </rPr>
          <t xml:space="preserve">
Define the package of skills required to meet service user needs.</t>
        </r>
      </text>
    </comment>
    <comment ref="K17" authorId="0" shapeId="0" xr:uid="{5B46EB54-2B9E-41CE-A88D-CD5B09BF2C63}">
      <text>
        <r>
          <rPr>
            <b/>
            <sz val="9"/>
            <color indexed="81"/>
            <rFont val="Tahoma"/>
            <family val="2"/>
          </rPr>
          <t xml:space="preserve">ASSESS:
</t>
        </r>
        <r>
          <rPr>
            <sz val="9"/>
            <color indexed="81"/>
            <rFont val="Tahoma"/>
            <family val="2"/>
          </rPr>
          <t xml:space="preserve">Identify and understand a presenting problem, including evaluations.
</t>
        </r>
        <r>
          <rPr>
            <b/>
            <sz val="9"/>
            <color indexed="81"/>
            <rFont val="Tahoma"/>
            <family val="2"/>
          </rPr>
          <t>PLAN:</t>
        </r>
        <r>
          <rPr>
            <sz val="9"/>
            <color indexed="81"/>
            <rFont val="Tahoma"/>
            <family val="2"/>
          </rPr>
          <t xml:space="preserve">
Define the package of skills required to meet service user needs.</t>
        </r>
      </text>
    </comment>
    <comment ref="B18" authorId="0" shapeId="0" xr:uid="{CEEBC0B1-6F46-420B-B8CE-4CC04DC47841}">
      <text>
        <r>
          <rPr>
            <b/>
            <sz val="9"/>
            <color indexed="81"/>
            <rFont val="Tahoma"/>
            <family val="2"/>
          </rPr>
          <t xml:space="preserve">TREAT:
</t>
        </r>
        <r>
          <rPr>
            <sz val="9"/>
            <color indexed="81"/>
            <rFont val="Tahoma"/>
            <family val="2"/>
          </rPr>
          <t xml:space="preserve">Change the condition and restore the service user to good, or improved health.
</t>
        </r>
        <r>
          <rPr>
            <b/>
            <sz val="9"/>
            <color indexed="81"/>
            <rFont val="Tahoma"/>
            <family val="2"/>
          </rPr>
          <t>RELIEVE:</t>
        </r>
        <r>
          <rPr>
            <sz val="9"/>
            <color indexed="81"/>
            <rFont val="Tahoma"/>
            <family val="2"/>
          </rPr>
          <t xml:space="preserve">
Assist service users by abating symptoms of ill-health and distress and meet support needs</t>
        </r>
      </text>
    </comment>
    <comment ref="K18" authorId="0" shapeId="0" xr:uid="{25DB3361-5E73-4365-A9CF-CF86331A1D65}">
      <text>
        <r>
          <rPr>
            <b/>
            <sz val="9"/>
            <color indexed="81"/>
            <rFont val="Tahoma"/>
            <family val="2"/>
          </rPr>
          <t xml:space="preserve">TREAT:
</t>
        </r>
        <r>
          <rPr>
            <sz val="9"/>
            <color indexed="81"/>
            <rFont val="Tahoma"/>
            <family val="2"/>
          </rPr>
          <t xml:space="preserve">Change the condition and restore the service user to good, or improved health.
</t>
        </r>
        <r>
          <rPr>
            <b/>
            <sz val="9"/>
            <color indexed="81"/>
            <rFont val="Tahoma"/>
            <family val="2"/>
          </rPr>
          <t>RELIEVE:</t>
        </r>
        <r>
          <rPr>
            <sz val="9"/>
            <color indexed="81"/>
            <rFont val="Tahoma"/>
            <family val="2"/>
          </rPr>
          <t xml:space="preserve">
Assist service users by abating symptoms of ill-health and distress and meet support needs</t>
        </r>
      </text>
    </comment>
    <comment ref="B19" authorId="0" shapeId="0" xr:uid="{08278A0D-50D2-4CAB-AC24-596F4AE997E6}">
      <text>
        <r>
          <rPr>
            <b/>
            <sz val="9"/>
            <color indexed="81"/>
            <rFont val="Tahoma"/>
            <family val="2"/>
          </rPr>
          <t xml:space="preserve">LINK:
</t>
        </r>
        <r>
          <rPr>
            <sz val="9"/>
            <color indexed="81"/>
            <rFont val="Tahoma"/>
            <family val="2"/>
          </rPr>
          <t>Connect different sectors, services, workforces and their skills around a holistic understanding of the needs of the service user.</t>
        </r>
      </text>
    </comment>
    <comment ref="K19" authorId="0" shapeId="0" xr:uid="{DBD03374-4D48-411F-9E14-AF5DCC1864D8}">
      <text>
        <r>
          <rPr>
            <b/>
            <sz val="9"/>
            <color indexed="81"/>
            <rFont val="Tahoma"/>
            <family val="2"/>
          </rPr>
          <t xml:space="preserve">LINK:
</t>
        </r>
        <r>
          <rPr>
            <sz val="9"/>
            <color indexed="81"/>
            <rFont val="Tahoma"/>
            <family val="2"/>
          </rPr>
          <t>Connect different sectors, services, workforces and their skills around a holistic understanding of the needs of the service user.</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Richard Blackwell</author>
  </authors>
  <commentList>
    <comment ref="C5" authorId="0" shapeId="0" xr:uid="{BFC6528E-E467-4F5D-9019-D59ED2EA7E2F}">
      <text>
        <r>
          <rPr>
            <b/>
            <sz val="9"/>
            <color indexed="81"/>
            <rFont val="Tahoma"/>
            <family val="2"/>
          </rPr>
          <t>GROUP A:</t>
        </r>
        <r>
          <rPr>
            <sz val="9"/>
            <color indexed="81"/>
            <rFont val="Tahoma"/>
            <family val="2"/>
          </rPr>
          <t xml:space="preserve">
Requires no training at all and generally will not involve complex technology.</t>
        </r>
      </text>
    </comment>
    <comment ref="D5" authorId="0" shapeId="0" xr:uid="{EA854E08-972D-41C5-A2FF-1C54C3D1C4DC}">
      <text>
        <r>
          <rPr>
            <b/>
            <sz val="9"/>
            <color indexed="81"/>
            <rFont val="Tahoma"/>
            <family val="2"/>
          </rPr>
          <t>GROUP B:</t>
        </r>
        <r>
          <rPr>
            <sz val="9"/>
            <color indexed="81"/>
            <rFont val="Tahoma"/>
            <family val="2"/>
          </rPr>
          <t xml:space="preserve">
Requires some training, induction or education of up to a year, or substantial experience of around five years in the role.</t>
        </r>
      </text>
    </comment>
    <comment ref="E5" authorId="0" shapeId="0" xr:uid="{B7EE6AD1-6F64-4C09-AC42-F18815EC8328}">
      <text>
        <r>
          <rPr>
            <b/>
            <sz val="9"/>
            <color indexed="81"/>
            <rFont val="Tahoma"/>
            <family val="2"/>
          </rPr>
          <t>GROUP C:</t>
        </r>
        <r>
          <rPr>
            <sz val="9"/>
            <color indexed="81"/>
            <rFont val="Tahoma"/>
            <family val="2"/>
          </rPr>
          <t xml:space="preserve">
Requires three to four years of formal education and are associated
with junior non-medical professions (e.g. occupational therapists).</t>
        </r>
      </text>
    </comment>
    <comment ref="F5" authorId="0" shapeId="0" xr:uid="{8D4E2478-1D0E-48EF-9D38-7277FF07608B}">
      <text>
        <r>
          <rPr>
            <b/>
            <sz val="9"/>
            <color indexed="81"/>
            <rFont val="Tahoma"/>
            <family val="2"/>
          </rPr>
          <t>GROUP D:</t>
        </r>
        <r>
          <rPr>
            <sz val="9"/>
            <color indexed="81"/>
            <rFont val="Tahoma"/>
            <family val="2"/>
          </rPr>
          <t xml:space="preserve">
Requires either four to six years of formal education or three to four years education together with substantial experience. These activities are associated with technical or scientific professionals such as pharmacists or senior non-medical professions (Agenda for Change bands 7-8).</t>
        </r>
      </text>
    </comment>
    <comment ref="G5" authorId="0" shapeId="0" xr:uid="{EE7B35C3-5A31-44DC-98F1-283152830A3D}">
      <text>
        <r>
          <rPr>
            <b/>
            <sz val="9"/>
            <color indexed="81"/>
            <rFont val="Tahoma"/>
            <family val="2"/>
          </rPr>
          <t xml:space="preserve">GROUP E:
</t>
        </r>
        <r>
          <rPr>
            <sz val="9"/>
            <color indexed="81"/>
            <rFont val="Tahoma"/>
            <family val="2"/>
          </rPr>
          <t>Requires over six years of formal education and are generally associated with junior medical and dental staff.</t>
        </r>
      </text>
    </comment>
    <comment ref="H5" authorId="0" shapeId="0" xr:uid="{BCAA862E-3264-4965-BAA9-36EF9926991B}">
      <text>
        <r>
          <rPr>
            <b/>
            <sz val="9"/>
            <color indexed="81"/>
            <rFont val="Tahoma"/>
            <family val="2"/>
          </rPr>
          <t>GROUP F:</t>
        </r>
        <r>
          <rPr>
            <sz val="9"/>
            <color indexed="81"/>
            <rFont val="Tahoma"/>
            <family val="2"/>
          </rPr>
          <t xml:space="preserve">
Requires over six years of formal education and significant experience in post. These skills are associated with consultant and associate specialist grade medical and dental staff.</t>
        </r>
      </text>
    </comment>
    <comment ref="L5" authorId="0" shapeId="0" xr:uid="{9F847451-CC77-40C3-8DEF-81EEFCBAA801}">
      <text>
        <r>
          <rPr>
            <b/>
            <sz val="9"/>
            <color indexed="81"/>
            <rFont val="Tahoma"/>
            <family val="2"/>
          </rPr>
          <t>GROUP A:</t>
        </r>
        <r>
          <rPr>
            <sz val="9"/>
            <color indexed="81"/>
            <rFont val="Tahoma"/>
            <family val="2"/>
          </rPr>
          <t xml:space="preserve">
Requires no training at all and generally will not involve complex technology.</t>
        </r>
      </text>
    </comment>
    <comment ref="M5" authorId="0" shapeId="0" xr:uid="{DD8B84D9-EFB8-40B9-A162-38685F8B8F51}">
      <text>
        <r>
          <rPr>
            <b/>
            <sz val="9"/>
            <color indexed="81"/>
            <rFont val="Tahoma"/>
            <family val="2"/>
          </rPr>
          <t>GROUP B:</t>
        </r>
        <r>
          <rPr>
            <sz val="9"/>
            <color indexed="81"/>
            <rFont val="Tahoma"/>
            <family val="2"/>
          </rPr>
          <t xml:space="preserve">
Requires some training, induction or education of up to a year, or substantial experience of around five years in the role.</t>
        </r>
      </text>
    </comment>
    <comment ref="N5" authorId="0" shapeId="0" xr:uid="{A8C477DD-3B99-4538-8109-1FD95C60534C}">
      <text>
        <r>
          <rPr>
            <b/>
            <sz val="9"/>
            <color indexed="81"/>
            <rFont val="Tahoma"/>
            <family val="2"/>
          </rPr>
          <t>GROUP C:</t>
        </r>
        <r>
          <rPr>
            <sz val="9"/>
            <color indexed="81"/>
            <rFont val="Tahoma"/>
            <family val="2"/>
          </rPr>
          <t xml:space="preserve">
Requires three to four years of formal education and are associated
with junior non-medical professions (e.g. occupational therapists).</t>
        </r>
      </text>
    </comment>
    <comment ref="O5" authorId="0" shapeId="0" xr:uid="{91BDD109-87A8-43D4-B33E-C2C1BDF3BE50}">
      <text>
        <r>
          <rPr>
            <b/>
            <sz val="9"/>
            <color indexed="81"/>
            <rFont val="Tahoma"/>
            <family val="2"/>
          </rPr>
          <t>GROUP D:</t>
        </r>
        <r>
          <rPr>
            <sz val="9"/>
            <color indexed="81"/>
            <rFont val="Tahoma"/>
            <family val="2"/>
          </rPr>
          <t xml:space="preserve">
Requires either four to six years of formal education or three to four years education together with substantial experience. These activities are associated with technical or scientific professionals such as pharmacists or senior non-medical professions (Agenda for Change bands 7-8).</t>
        </r>
      </text>
    </comment>
    <comment ref="P5" authorId="0" shapeId="0" xr:uid="{506CB1C5-81BF-49CA-8A9B-50F7AC0FE9C2}">
      <text>
        <r>
          <rPr>
            <b/>
            <sz val="9"/>
            <color indexed="81"/>
            <rFont val="Tahoma"/>
            <family val="2"/>
          </rPr>
          <t xml:space="preserve">GROUP E:
</t>
        </r>
        <r>
          <rPr>
            <sz val="9"/>
            <color indexed="81"/>
            <rFont val="Tahoma"/>
            <family val="2"/>
          </rPr>
          <t>Requires over six years of formal education and are generally associated with junior medical and dental staff.</t>
        </r>
      </text>
    </comment>
    <comment ref="Q5" authorId="0" shapeId="0" xr:uid="{2AAF584F-759B-40C0-8AD1-EDB924CD2E75}">
      <text>
        <r>
          <rPr>
            <b/>
            <sz val="9"/>
            <color indexed="81"/>
            <rFont val="Tahoma"/>
            <family val="2"/>
          </rPr>
          <t>GROUP F:</t>
        </r>
        <r>
          <rPr>
            <sz val="9"/>
            <color indexed="81"/>
            <rFont val="Tahoma"/>
            <family val="2"/>
          </rPr>
          <t xml:space="preserve">
Requires over six years of formal education and significant experience in post. These skills are associated with consultant and associate specialist grade medical and dental staff.</t>
        </r>
      </text>
    </comment>
    <comment ref="B6" authorId="0" shapeId="0" xr:uid="{2631B3A6-675E-40F0-ADCF-D3DBB4F1296B}">
      <text>
        <r>
          <rPr>
            <b/>
            <sz val="9"/>
            <color indexed="81"/>
            <rFont val="Tahoma"/>
            <family val="2"/>
          </rPr>
          <t>PREVENT:</t>
        </r>
        <r>
          <rPr>
            <sz val="9"/>
            <color indexed="81"/>
            <rFont val="Tahoma"/>
            <family val="2"/>
          </rPr>
          <t xml:space="preserve">
Reduce the instance or incidence of ill health and demand for care.
</t>
        </r>
        <r>
          <rPr>
            <b/>
            <sz val="9"/>
            <color indexed="81"/>
            <rFont val="Tahoma"/>
            <family val="2"/>
          </rPr>
          <t>ENABLE:</t>
        </r>
        <r>
          <rPr>
            <sz val="9"/>
            <color indexed="81"/>
            <rFont val="Tahoma"/>
            <family val="2"/>
          </rPr>
          <t xml:space="preserve">
Increase the control and capacity service users have to improve their situation.
</t>
        </r>
        <r>
          <rPr>
            <b/>
            <sz val="9"/>
            <color indexed="81"/>
            <rFont val="Tahoma"/>
            <family val="2"/>
          </rPr>
          <t>REHABILITATE:</t>
        </r>
        <r>
          <rPr>
            <sz val="9"/>
            <color indexed="81"/>
            <rFont val="Tahoma"/>
            <family val="2"/>
          </rPr>
          <t xml:space="preserve">
Restore functionality, independence, articipation and even purpose of service user.</t>
        </r>
      </text>
    </comment>
    <comment ref="K6" authorId="0" shapeId="0" xr:uid="{CF1F65F6-024A-4886-9240-E3784F584840}">
      <text>
        <r>
          <rPr>
            <b/>
            <sz val="9"/>
            <color indexed="81"/>
            <rFont val="Tahoma"/>
            <family val="2"/>
          </rPr>
          <t>PREVENT:</t>
        </r>
        <r>
          <rPr>
            <sz val="9"/>
            <color indexed="81"/>
            <rFont val="Tahoma"/>
            <family val="2"/>
          </rPr>
          <t xml:space="preserve">
Reduce the instance or incidence of ill health and demand for care.
</t>
        </r>
        <r>
          <rPr>
            <b/>
            <sz val="9"/>
            <color indexed="81"/>
            <rFont val="Tahoma"/>
            <family val="2"/>
          </rPr>
          <t>ENABLE:</t>
        </r>
        <r>
          <rPr>
            <sz val="9"/>
            <color indexed="81"/>
            <rFont val="Tahoma"/>
            <family val="2"/>
          </rPr>
          <t xml:space="preserve">
Increase the control and capacity service users have to improve their situation.
</t>
        </r>
        <r>
          <rPr>
            <b/>
            <sz val="9"/>
            <color indexed="81"/>
            <rFont val="Tahoma"/>
            <family val="2"/>
          </rPr>
          <t>REHABILITATE:</t>
        </r>
        <r>
          <rPr>
            <sz val="9"/>
            <color indexed="81"/>
            <rFont val="Tahoma"/>
            <family val="2"/>
          </rPr>
          <t xml:space="preserve">
Restore functionality, independence, articipation and even purpose of service user.</t>
        </r>
      </text>
    </comment>
    <comment ref="B7" authorId="0" shapeId="0" xr:uid="{54717E44-BDCC-42CB-BC29-7F66CB3C84F8}">
      <text>
        <r>
          <rPr>
            <b/>
            <sz val="9"/>
            <color indexed="81"/>
            <rFont val="Tahoma"/>
            <family val="2"/>
          </rPr>
          <t xml:space="preserve">ASSESS:
</t>
        </r>
        <r>
          <rPr>
            <sz val="9"/>
            <color indexed="81"/>
            <rFont val="Tahoma"/>
            <family val="2"/>
          </rPr>
          <t xml:space="preserve">Identify and understand a presenting problem, including evaluations.
</t>
        </r>
        <r>
          <rPr>
            <b/>
            <sz val="9"/>
            <color indexed="81"/>
            <rFont val="Tahoma"/>
            <family val="2"/>
          </rPr>
          <t>PLAN:</t>
        </r>
        <r>
          <rPr>
            <sz val="9"/>
            <color indexed="81"/>
            <rFont val="Tahoma"/>
            <family val="2"/>
          </rPr>
          <t xml:space="preserve">
Define the package of skills required to meet service user needs.</t>
        </r>
      </text>
    </comment>
    <comment ref="K7" authorId="0" shapeId="0" xr:uid="{D8FB13D0-0BD8-46BE-A24C-DC3C5B563D0F}">
      <text>
        <r>
          <rPr>
            <b/>
            <sz val="9"/>
            <color indexed="81"/>
            <rFont val="Tahoma"/>
            <family val="2"/>
          </rPr>
          <t xml:space="preserve">ASSESS:
</t>
        </r>
        <r>
          <rPr>
            <sz val="9"/>
            <color indexed="81"/>
            <rFont val="Tahoma"/>
            <family val="2"/>
          </rPr>
          <t xml:space="preserve">Identify and understand a presenting problem, including evaluations.
</t>
        </r>
        <r>
          <rPr>
            <b/>
            <sz val="9"/>
            <color indexed="81"/>
            <rFont val="Tahoma"/>
            <family val="2"/>
          </rPr>
          <t>PLAN:</t>
        </r>
        <r>
          <rPr>
            <sz val="9"/>
            <color indexed="81"/>
            <rFont val="Tahoma"/>
            <family val="2"/>
          </rPr>
          <t xml:space="preserve">
Define the package of skills required to meet service user needs.</t>
        </r>
      </text>
    </comment>
    <comment ref="B8" authorId="0" shapeId="0" xr:uid="{066F36AF-C04D-4EB8-AD3C-DF9E09DCEF5C}">
      <text>
        <r>
          <rPr>
            <b/>
            <sz val="9"/>
            <color indexed="81"/>
            <rFont val="Tahoma"/>
            <family val="2"/>
          </rPr>
          <t xml:space="preserve">TREAT:
</t>
        </r>
        <r>
          <rPr>
            <sz val="9"/>
            <color indexed="81"/>
            <rFont val="Tahoma"/>
            <family val="2"/>
          </rPr>
          <t xml:space="preserve">Change the condition and restore the service user to good, or improved health.
</t>
        </r>
        <r>
          <rPr>
            <b/>
            <sz val="9"/>
            <color indexed="81"/>
            <rFont val="Tahoma"/>
            <family val="2"/>
          </rPr>
          <t>RELIEVE:</t>
        </r>
        <r>
          <rPr>
            <sz val="9"/>
            <color indexed="81"/>
            <rFont val="Tahoma"/>
            <family val="2"/>
          </rPr>
          <t xml:space="preserve">
Assist service users by abating symptoms of ill-health and distress and meet support needs</t>
        </r>
      </text>
    </comment>
    <comment ref="K8" authorId="0" shapeId="0" xr:uid="{53E17A26-8E7A-4227-8441-54C27D58101C}">
      <text>
        <r>
          <rPr>
            <b/>
            <sz val="9"/>
            <color indexed="81"/>
            <rFont val="Tahoma"/>
            <family val="2"/>
          </rPr>
          <t xml:space="preserve">TREAT:
</t>
        </r>
        <r>
          <rPr>
            <sz val="9"/>
            <color indexed="81"/>
            <rFont val="Tahoma"/>
            <family val="2"/>
          </rPr>
          <t xml:space="preserve">Change the condition and restore the service user to good, or improved health.
</t>
        </r>
        <r>
          <rPr>
            <b/>
            <sz val="9"/>
            <color indexed="81"/>
            <rFont val="Tahoma"/>
            <family val="2"/>
          </rPr>
          <t>RELIEVE:</t>
        </r>
        <r>
          <rPr>
            <sz val="9"/>
            <color indexed="81"/>
            <rFont val="Tahoma"/>
            <family val="2"/>
          </rPr>
          <t xml:space="preserve">
Assist service users by abating symptoms of ill-health and distress and meet support needs</t>
        </r>
      </text>
    </comment>
    <comment ref="B9" authorId="0" shapeId="0" xr:uid="{401A5420-0B73-4E25-83CC-003884ADF510}">
      <text>
        <r>
          <rPr>
            <b/>
            <sz val="9"/>
            <color indexed="81"/>
            <rFont val="Tahoma"/>
            <family val="2"/>
          </rPr>
          <t xml:space="preserve">LINK:
</t>
        </r>
        <r>
          <rPr>
            <sz val="9"/>
            <color indexed="81"/>
            <rFont val="Tahoma"/>
            <family val="2"/>
          </rPr>
          <t>Connect different sectors, services, workforces and their skills around a holistic understanding of the needs of the service user.</t>
        </r>
      </text>
    </comment>
    <comment ref="K9" authorId="0" shapeId="0" xr:uid="{025E3EE7-64CD-4FE0-B2AC-262A41B4B8CD}">
      <text>
        <r>
          <rPr>
            <b/>
            <sz val="9"/>
            <color indexed="81"/>
            <rFont val="Tahoma"/>
            <family val="2"/>
          </rPr>
          <t xml:space="preserve">LINK:
</t>
        </r>
        <r>
          <rPr>
            <sz val="9"/>
            <color indexed="81"/>
            <rFont val="Tahoma"/>
            <family val="2"/>
          </rPr>
          <t>Connect different sectors, services, workforces and their skills around a holistic understanding of the needs of the service user.</t>
        </r>
      </text>
    </comment>
    <comment ref="C15" authorId="0" shapeId="0" xr:uid="{D06050D2-5231-4966-A914-FC6619EBAEF8}">
      <text>
        <r>
          <rPr>
            <b/>
            <sz val="9"/>
            <color indexed="81"/>
            <rFont val="Tahoma"/>
            <family val="2"/>
          </rPr>
          <t>GROUP A:</t>
        </r>
        <r>
          <rPr>
            <sz val="9"/>
            <color indexed="81"/>
            <rFont val="Tahoma"/>
            <family val="2"/>
          </rPr>
          <t xml:space="preserve">
Requires no training at all and generally will not involve complex technology.</t>
        </r>
      </text>
    </comment>
    <comment ref="D15" authorId="0" shapeId="0" xr:uid="{EFC3F682-3C0C-4BAE-848F-1B4B9FC24814}">
      <text>
        <r>
          <rPr>
            <b/>
            <sz val="9"/>
            <color indexed="81"/>
            <rFont val="Tahoma"/>
            <family val="2"/>
          </rPr>
          <t>GROUP B:</t>
        </r>
        <r>
          <rPr>
            <sz val="9"/>
            <color indexed="81"/>
            <rFont val="Tahoma"/>
            <family val="2"/>
          </rPr>
          <t xml:space="preserve">
Requires some training, induction or education of up to a year, or substantial experience of around five years in the role.</t>
        </r>
      </text>
    </comment>
    <comment ref="E15" authorId="0" shapeId="0" xr:uid="{B4647B4E-C5D0-4CF7-A767-9CB7CEAC5743}">
      <text>
        <r>
          <rPr>
            <b/>
            <sz val="9"/>
            <color indexed="81"/>
            <rFont val="Tahoma"/>
            <family val="2"/>
          </rPr>
          <t>GROUP C:</t>
        </r>
        <r>
          <rPr>
            <sz val="9"/>
            <color indexed="81"/>
            <rFont val="Tahoma"/>
            <family val="2"/>
          </rPr>
          <t xml:space="preserve">
Requires three to four years of formal education and are associated
with junior non-medical professions (e.g. occupational therapists).</t>
        </r>
      </text>
    </comment>
    <comment ref="F15" authorId="0" shapeId="0" xr:uid="{5294CDE7-E33D-43FF-BE94-C6980C6D6EDB}">
      <text>
        <r>
          <rPr>
            <b/>
            <sz val="9"/>
            <color indexed="81"/>
            <rFont val="Tahoma"/>
            <family val="2"/>
          </rPr>
          <t>GROUP D:</t>
        </r>
        <r>
          <rPr>
            <sz val="9"/>
            <color indexed="81"/>
            <rFont val="Tahoma"/>
            <family val="2"/>
          </rPr>
          <t xml:space="preserve">
Requires either four to six years of formal education or three to four years education together with substantial experience. These activities are associated with technical or scientific professionals such as pharmacists or senior non-medical professions (Agenda for Change bands 7-8).</t>
        </r>
      </text>
    </comment>
    <comment ref="G15" authorId="0" shapeId="0" xr:uid="{BE0B0063-0669-4284-8AD9-346A102671AE}">
      <text>
        <r>
          <rPr>
            <b/>
            <sz val="9"/>
            <color indexed="81"/>
            <rFont val="Tahoma"/>
            <family val="2"/>
          </rPr>
          <t xml:space="preserve">GROUP E:
</t>
        </r>
        <r>
          <rPr>
            <sz val="9"/>
            <color indexed="81"/>
            <rFont val="Tahoma"/>
            <family val="2"/>
          </rPr>
          <t>Requires over six years of formal education and are generally associated with junior medical and dental staff.</t>
        </r>
      </text>
    </comment>
    <comment ref="H15" authorId="0" shapeId="0" xr:uid="{346B9E56-CD5C-4797-AE2D-041A960C3619}">
      <text>
        <r>
          <rPr>
            <b/>
            <sz val="9"/>
            <color indexed="81"/>
            <rFont val="Tahoma"/>
            <family val="2"/>
          </rPr>
          <t>GROUP F:</t>
        </r>
        <r>
          <rPr>
            <sz val="9"/>
            <color indexed="81"/>
            <rFont val="Tahoma"/>
            <family val="2"/>
          </rPr>
          <t xml:space="preserve">
Requires over six years of formal education and significant experience in post. These skills are associated with consultant and associate specialist grade medical and dental staff.</t>
        </r>
      </text>
    </comment>
    <comment ref="L15" authorId="0" shapeId="0" xr:uid="{63A711D9-290E-4B84-B550-C6C64C3DDB0A}">
      <text>
        <r>
          <rPr>
            <b/>
            <sz val="9"/>
            <color indexed="81"/>
            <rFont val="Tahoma"/>
            <family val="2"/>
          </rPr>
          <t>GROUP A:</t>
        </r>
        <r>
          <rPr>
            <sz val="9"/>
            <color indexed="81"/>
            <rFont val="Tahoma"/>
            <family val="2"/>
          </rPr>
          <t xml:space="preserve">
Requires no training at all and generally will not involve complex technology.</t>
        </r>
      </text>
    </comment>
    <comment ref="M15" authorId="0" shapeId="0" xr:uid="{62BBD620-B89E-4829-B426-B323DF8B34AC}">
      <text>
        <r>
          <rPr>
            <b/>
            <sz val="9"/>
            <color indexed="81"/>
            <rFont val="Tahoma"/>
            <family val="2"/>
          </rPr>
          <t>GROUP B:</t>
        </r>
        <r>
          <rPr>
            <sz val="9"/>
            <color indexed="81"/>
            <rFont val="Tahoma"/>
            <family val="2"/>
          </rPr>
          <t xml:space="preserve">
Requires some training, induction or education of up to a year, or substantial experience of around five years in the role.</t>
        </r>
      </text>
    </comment>
    <comment ref="N15" authorId="0" shapeId="0" xr:uid="{E49EFEE8-9AF9-436A-8F56-175AF15CAC10}">
      <text>
        <r>
          <rPr>
            <b/>
            <sz val="9"/>
            <color indexed="81"/>
            <rFont val="Tahoma"/>
            <family val="2"/>
          </rPr>
          <t>GROUP C:</t>
        </r>
        <r>
          <rPr>
            <sz val="9"/>
            <color indexed="81"/>
            <rFont val="Tahoma"/>
            <family val="2"/>
          </rPr>
          <t xml:space="preserve">
Requires three to four years of formal education and are associated
with junior non-medical professions (e.g. occupational therapists).</t>
        </r>
      </text>
    </comment>
    <comment ref="O15" authorId="0" shapeId="0" xr:uid="{3EE5CA22-7D12-426C-820F-3874F0E86A6E}">
      <text>
        <r>
          <rPr>
            <b/>
            <sz val="9"/>
            <color indexed="81"/>
            <rFont val="Tahoma"/>
            <family val="2"/>
          </rPr>
          <t>GROUP D:</t>
        </r>
        <r>
          <rPr>
            <sz val="9"/>
            <color indexed="81"/>
            <rFont val="Tahoma"/>
            <family val="2"/>
          </rPr>
          <t xml:space="preserve">
Requires either four to six years of formal education or three to four years education together with substantial experience. These activities are associated with technical or scientific professionals such as pharmacists or senior non-medical professions (Agenda for Change bands 7-8).</t>
        </r>
      </text>
    </comment>
    <comment ref="P15" authorId="0" shapeId="0" xr:uid="{A27FB51F-B372-4F4A-AE43-84E30935FF8A}">
      <text>
        <r>
          <rPr>
            <b/>
            <sz val="9"/>
            <color indexed="81"/>
            <rFont val="Tahoma"/>
            <family val="2"/>
          </rPr>
          <t xml:space="preserve">GROUP E:
</t>
        </r>
        <r>
          <rPr>
            <sz val="9"/>
            <color indexed="81"/>
            <rFont val="Tahoma"/>
            <family val="2"/>
          </rPr>
          <t>Requires over six years of formal education and are generally associated with junior medical and dental staff.</t>
        </r>
      </text>
    </comment>
    <comment ref="Q15" authorId="0" shapeId="0" xr:uid="{3A671DFF-3125-41D7-9E27-54DC48733D7E}">
      <text>
        <r>
          <rPr>
            <b/>
            <sz val="9"/>
            <color indexed="81"/>
            <rFont val="Tahoma"/>
            <family val="2"/>
          </rPr>
          <t>GROUP F:</t>
        </r>
        <r>
          <rPr>
            <sz val="9"/>
            <color indexed="81"/>
            <rFont val="Tahoma"/>
            <family val="2"/>
          </rPr>
          <t xml:space="preserve">
Requires over six years of formal education and significant experience in post. These skills are associated with consultant and associate specialist grade medical and dental staff.</t>
        </r>
      </text>
    </comment>
    <comment ref="B16" authorId="0" shapeId="0" xr:uid="{3354908A-A985-407B-9664-CCC087586C70}">
      <text>
        <r>
          <rPr>
            <b/>
            <sz val="9"/>
            <color indexed="81"/>
            <rFont val="Tahoma"/>
            <family val="2"/>
          </rPr>
          <t>PREVENT:</t>
        </r>
        <r>
          <rPr>
            <sz val="9"/>
            <color indexed="81"/>
            <rFont val="Tahoma"/>
            <family val="2"/>
          </rPr>
          <t xml:space="preserve">
Reduce the instance or incidence of ill health and demand for care.
</t>
        </r>
        <r>
          <rPr>
            <b/>
            <sz val="9"/>
            <color indexed="81"/>
            <rFont val="Tahoma"/>
            <family val="2"/>
          </rPr>
          <t>ENABLE:</t>
        </r>
        <r>
          <rPr>
            <sz val="9"/>
            <color indexed="81"/>
            <rFont val="Tahoma"/>
            <family val="2"/>
          </rPr>
          <t xml:space="preserve">
Increase the control and capacity service users have to improve their situation.
</t>
        </r>
        <r>
          <rPr>
            <b/>
            <sz val="9"/>
            <color indexed="81"/>
            <rFont val="Tahoma"/>
            <family val="2"/>
          </rPr>
          <t>REHABILITATE:</t>
        </r>
        <r>
          <rPr>
            <sz val="9"/>
            <color indexed="81"/>
            <rFont val="Tahoma"/>
            <family val="2"/>
          </rPr>
          <t xml:space="preserve">
Restore functionality, independence, articipation and even purpose of service user.</t>
        </r>
      </text>
    </comment>
    <comment ref="K16" authorId="0" shapeId="0" xr:uid="{72244911-3D64-4C6D-9E4D-B9B026DD2853}">
      <text>
        <r>
          <rPr>
            <b/>
            <sz val="9"/>
            <color indexed="81"/>
            <rFont val="Tahoma"/>
            <family val="2"/>
          </rPr>
          <t>PREVENT:</t>
        </r>
        <r>
          <rPr>
            <sz val="9"/>
            <color indexed="81"/>
            <rFont val="Tahoma"/>
            <family val="2"/>
          </rPr>
          <t xml:space="preserve">
Reduce the instance or incidence of ill health and demand for care.
</t>
        </r>
        <r>
          <rPr>
            <b/>
            <sz val="9"/>
            <color indexed="81"/>
            <rFont val="Tahoma"/>
            <family val="2"/>
          </rPr>
          <t>ENABLE:</t>
        </r>
        <r>
          <rPr>
            <sz val="9"/>
            <color indexed="81"/>
            <rFont val="Tahoma"/>
            <family val="2"/>
          </rPr>
          <t xml:space="preserve">
Increase the control and capacity service users have to improve their situation.
</t>
        </r>
        <r>
          <rPr>
            <b/>
            <sz val="9"/>
            <color indexed="81"/>
            <rFont val="Tahoma"/>
            <family val="2"/>
          </rPr>
          <t>REHABILITATE:</t>
        </r>
        <r>
          <rPr>
            <sz val="9"/>
            <color indexed="81"/>
            <rFont val="Tahoma"/>
            <family val="2"/>
          </rPr>
          <t xml:space="preserve">
Restore functionality, independence, articipation and even purpose of service user.</t>
        </r>
      </text>
    </comment>
    <comment ref="B17" authorId="0" shapeId="0" xr:uid="{715CB68D-481B-456D-8756-D41407BF242B}">
      <text>
        <r>
          <rPr>
            <b/>
            <sz val="9"/>
            <color indexed="81"/>
            <rFont val="Tahoma"/>
            <family val="2"/>
          </rPr>
          <t xml:space="preserve">ASSESS:
</t>
        </r>
        <r>
          <rPr>
            <sz val="9"/>
            <color indexed="81"/>
            <rFont val="Tahoma"/>
            <family val="2"/>
          </rPr>
          <t xml:space="preserve">Identify and understand a presenting problem, including evaluations.
</t>
        </r>
        <r>
          <rPr>
            <b/>
            <sz val="9"/>
            <color indexed="81"/>
            <rFont val="Tahoma"/>
            <family val="2"/>
          </rPr>
          <t>PLAN:</t>
        </r>
        <r>
          <rPr>
            <sz val="9"/>
            <color indexed="81"/>
            <rFont val="Tahoma"/>
            <family val="2"/>
          </rPr>
          <t xml:space="preserve">
Define the package of skills required to meet service user needs.</t>
        </r>
      </text>
    </comment>
    <comment ref="K17" authorId="0" shapeId="0" xr:uid="{DEB9D5CA-FF6D-4CA2-957E-CDAE1C6989F4}">
      <text>
        <r>
          <rPr>
            <b/>
            <sz val="9"/>
            <color indexed="81"/>
            <rFont val="Tahoma"/>
            <family val="2"/>
          </rPr>
          <t xml:space="preserve">ASSESS:
</t>
        </r>
        <r>
          <rPr>
            <sz val="9"/>
            <color indexed="81"/>
            <rFont val="Tahoma"/>
            <family val="2"/>
          </rPr>
          <t xml:space="preserve">Identify and understand a presenting problem, including evaluations.
</t>
        </r>
        <r>
          <rPr>
            <b/>
            <sz val="9"/>
            <color indexed="81"/>
            <rFont val="Tahoma"/>
            <family val="2"/>
          </rPr>
          <t>PLAN:</t>
        </r>
        <r>
          <rPr>
            <sz val="9"/>
            <color indexed="81"/>
            <rFont val="Tahoma"/>
            <family val="2"/>
          </rPr>
          <t xml:space="preserve">
Define the package of skills required to meet service user needs.</t>
        </r>
      </text>
    </comment>
    <comment ref="B18" authorId="0" shapeId="0" xr:uid="{A985ED65-5F0F-4491-B50E-35F22CAE20D1}">
      <text>
        <r>
          <rPr>
            <b/>
            <sz val="9"/>
            <color indexed="81"/>
            <rFont val="Tahoma"/>
            <family val="2"/>
          </rPr>
          <t xml:space="preserve">TREAT:
</t>
        </r>
        <r>
          <rPr>
            <sz val="9"/>
            <color indexed="81"/>
            <rFont val="Tahoma"/>
            <family val="2"/>
          </rPr>
          <t xml:space="preserve">Change the condition and restore the service user to good, or improved health.
</t>
        </r>
        <r>
          <rPr>
            <b/>
            <sz val="9"/>
            <color indexed="81"/>
            <rFont val="Tahoma"/>
            <family val="2"/>
          </rPr>
          <t>RELIEVE:</t>
        </r>
        <r>
          <rPr>
            <sz val="9"/>
            <color indexed="81"/>
            <rFont val="Tahoma"/>
            <family val="2"/>
          </rPr>
          <t xml:space="preserve">
Assist service users by abating symptoms of ill-health and distress and meet support needs</t>
        </r>
      </text>
    </comment>
    <comment ref="K18" authorId="0" shapeId="0" xr:uid="{1202F548-CC3F-4A7F-BFB7-816B0A3C1163}">
      <text>
        <r>
          <rPr>
            <b/>
            <sz val="9"/>
            <color indexed="81"/>
            <rFont val="Tahoma"/>
            <family val="2"/>
          </rPr>
          <t xml:space="preserve">TREAT:
</t>
        </r>
        <r>
          <rPr>
            <sz val="9"/>
            <color indexed="81"/>
            <rFont val="Tahoma"/>
            <family val="2"/>
          </rPr>
          <t xml:space="preserve">Change the condition and restore the service user to good, or improved health.
</t>
        </r>
        <r>
          <rPr>
            <b/>
            <sz val="9"/>
            <color indexed="81"/>
            <rFont val="Tahoma"/>
            <family val="2"/>
          </rPr>
          <t>RELIEVE:</t>
        </r>
        <r>
          <rPr>
            <sz val="9"/>
            <color indexed="81"/>
            <rFont val="Tahoma"/>
            <family val="2"/>
          </rPr>
          <t xml:space="preserve">
Assist service users by abating symptoms of ill-health and distress and meet support needs</t>
        </r>
      </text>
    </comment>
    <comment ref="B19" authorId="0" shapeId="0" xr:uid="{26E79D70-61C0-45C7-B816-E40993A8893F}">
      <text>
        <r>
          <rPr>
            <b/>
            <sz val="9"/>
            <color indexed="81"/>
            <rFont val="Tahoma"/>
            <family val="2"/>
          </rPr>
          <t xml:space="preserve">LINK:
</t>
        </r>
        <r>
          <rPr>
            <sz val="9"/>
            <color indexed="81"/>
            <rFont val="Tahoma"/>
            <family val="2"/>
          </rPr>
          <t>Connect different sectors, services, workforces and their skills around a holistic understanding of the needs of the service user.</t>
        </r>
      </text>
    </comment>
    <comment ref="K19" authorId="0" shapeId="0" xr:uid="{74938F11-B2DF-4040-8742-5A749A6E5C74}">
      <text>
        <r>
          <rPr>
            <b/>
            <sz val="9"/>
            <color indexed="81"/>
            <rFont val="Tahoma"/>
            <family val="2"/>
          </rPr>
          <t xml:space="preserve">LINK:
</t>
        </r>
        <r>
          <rPr>
            <sz val="9"/>
            <color indexed="81"/>
            <rFont val="Tahoma"/>
            <family val="2"/>
          </rPr>
          <t>Connect different sectors, services, workforces and their skills around a holistic understanding of the needs of the service user.</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Richard Blackwell</author>
  </authors>
  <commentList>
    <comment ref="C5" authorId="0" shapeId="0" xr:uid="{76D3E11E-46FD-40E0-8F60-C2DD31F665B2}">
      <text>
        <r>
          <rPr>
            <b/>
            <sz val="9"/>
            <color indexed="81"/>
            <rFont val="Tahoma"/>
            <family val="2"/>
          </rPr>
          <t>GROUP A:</t>
        </r>
        <r>
          <rPr>
            <sz val="9"/>
            <color indexed="81"/>
            <rFont val="Tahoma"/>
            <family val="2"/>
          </rPr>
          <t xml:space="preserve">
Requires no training at all and generally will not involve complex technology.</t>
        </r>
      </text>
    </comment>
    <comment ref="D5" authorId="0" shapeId="0" xr:uid="{3DF62AF6-B58A-42B6-B13B-434BD1C9B7E5}">
      <text>
        <r>
          <rPr>
            <b/>
            <sz val="9"/>
            <color indexed="81"/>
            <rFont val="Tahoma"/>
            <family val="2"/>
          </rPr>
          <t>GROUP B:</t>
        </r>
        <r>
          <rPr>
            <sz val="9"/>
            <color indexed="81"/>
            <rFont val="Tahoma"/>
            <family val="2"/>
          </rPr>
          <t xml:space="preserve">
Requires some training, induction or education of up to a year, or substantial experience of around five years in the role.</t>
        </r>
      </text>
    </comment>
    <comment ref="E5" authorId="0" shapeId="0" xr:uid="{906EA012-1DD8-4205-BB6F-EC732CBD85CC}">
      <text>
        <r>
          <rPr>
            <b/>
            <sz val="9"/>
            <color indexed="81"/>
            <rFont val="Tahoma"/>
            <family val="2"/>
          </rPr>
          <t>GROUP C:</t>
        </r>
        <r>
          <rPr>
            <sz val="9"/>
            <color indexed="81"/>
            <rFont val="Tahoma"/>
            <family val="2"/>
          </rPr>
          <t xml:space="preserve">
Requires three to four years of formal education and are associated
with junior non-medical professions (e.g. occupational therapists).</t>
        </r>
      </text>
    </comment>
    <comment ref="F5" authorId="0" shapeId="0" xr:uid="{0ACB3935-C601-4872-AB56-10C81B757800}">
      <text>
        <r>
          <rPr>
            <b/>
            <sz val="9"/>
            <color indexed="81"/>
            <rFont val="Tahoma"/>
            <family val="2"/>
          </rPr>
          <t>GROUP D:</t>
        </r>
        <r>
          <rPr>
            <sz val="9"/>
            <color indexed="81"/>
            <rFont val="Tahoma"/>
            <family val="2"/>
          </rPr>
          <t xml:space="preserve">
Requires either four to six years of formal education or three to four years education together with substantial experience. These activities are associated with technical or scientific professionals such as pharmacists or senior non-medical professions (Agenda for Change bands 7-8).</t>
        </r>
      </text>
    </comment>
    <comment ref="G5" authorId="0" shapeId="0" xr:uid="{4FE348AB-9EF8-4864-AA43-851B4A946193}">
      <text>
        <r>
          <rPr>
            <b/>
            <sz val="9"/>
            <color indexed="81"/>
            <rFont val="Tahoma"/>
            <family val="2"/>
          </rPr>
          <t xml:space="preserve">GROUP E:
</t>
        </r>
        <r>
          <rPr>
            <sz val="9"/>
            <color indexed="81"/>
            <rFont val="Tahoma"/>
            <family val="2"/>
          </rPr>
          <t>Requires over six years of formal education and are generally associated with junior medical and dental staff.</t>
        </r>
      </text>
    </comment>
    <comment ref="H5" authorId="0" shapeId="0" xr:uid="{CEB7EFB5-FCBD-4E58-88F3-E1B25080F579}">
      <text>
        <r>
          <rPr>
            <b/>
            <sz val="9"/>
            <color indexed="81"/>
            <rFont val="Tahoma"/>
            <family val="2"/>
          </rPr>
          <t>GROUP F:</t>
        </r>
        <r>
          <rPr>
            <sz val="9"/>
            <color indexed="81"/>
            <rFont val="Tahoma"/>
            <family val="2"/>
          </rPr>
          <t xml:space="preserve">
Requires over six years of formal education and significant experience in post. These skills are associated with consultant and associate specialist grade medical and dental staff.</t>
        </r>
      </text>
    </comment>
    <comment ref="L5" authorId="0" shapeId="0" xr:uid="{B67163DC-41EE-436B-A3EB-5985CE16828A}">
      <text>
        <r>
          <rPr>
            <b/>
            <sz val="9"/>
            <color indexed="81"/>
            <rFont val="Tahoma"/>
            <family val="2"/>
          </rPr>
          <t>GROUP A:</t>
        </r>
        <r>
          <rPr>
            <sz val="9"/>
            <color indexed="81"/>
            <rFont val="Tahoma"/>
            <family val="2"/>
          </rPr>
          <t xml:space="preserve">
Requires no training at all and generally will not involve complex technology.</t>
        </r>
      </text>
    </comment>
    <comment ref="M5" authorId="0" shapeId="0" xr:uid="{8F3EA08F-0F73-4CC5-AECE-94D759081480}">
      <text>
        <r>
          <rPr>
            <b/>
            <sz val="9"/>
            <color indexed="81"/>
            <rFont val="Tahoma"/>
            <family val="2"/>
          </rPr>
          <t>GROUP B:</t>
        </r>
        <r>
          <rPr>
            <sz val="9"/>
            <color indexed="81"/>
            <rFont val="Tahoma"/>
            <family val="2"/>
          </rPr>
          <t xml:space="preserve">
Requires some training, induction or education of up to a year, or substantial experience of around five years in the role.</t>
        </r>
      </text>
    </comment>
    <comment ref="N5" authorId="0" shapeId="0" xr:uid="{B76F3052-AE98-4E63-9861-E8C646C1323C}">
      <text>
        <r>
          <rPr>
            <b/>
            <sz val="9"/>
            <color indexed="81"/>
            <rFont val="Tahoma"/>
            <family val="2"/>
          </rPr>
          <t>GROUP C:</t>
        </r>
        <r>
          <rPr>
            <sz val="9"/>
            <color indexed="81"/>
            <rFont val="Tahoma"/>
            <family val="2"/>
          </rPr>
          <t xml:space="preserve">
Requires three to four years of formal education and are associated
with junior non-medical professions (e.g. occupational therapists).</t>
        </r>
      </text>
    </comment>
    <comment ref="O5" authorId="0" shapeId="0" xr:uid="{8C27B21D-B00B-488A-8290-8D226C93712F}">
      <text>
        <r>
          <rPr>
            <b/>
            <sz val="9"/>
            <color indexed="81"/>
            <rFont val="Tahoma"/>
            <family val="2"/>
          </rPr>
          <t>GROUP D:</t>
        </r>
        <r>
          <rPr>
            <sz val="9"/>
            <color indexed="81"/>
            <rFont val="Tahoma"/>
            <family val="2"/>
          </rPr>
          <t xml:space="preserve">
Requires either four to six years of formal education or three to four years education together with substantial experience. These activities are associated with technical or scientific professionals such as pharmacists or senior non-medical professions (Agenda for Change bands 7-8).</t>
        </r>
      </text>
    </comment>
    <comment ref="P5" authorId="0" shapeId="0" xr:uid="{E93393FC-7C16-46D0-8ED6-CFCD5BC40F50}">
      <text>
        <r>
          <rPr>
            <b/>
            <sz val="9"/>
            <color indexed="81"/>
            <rFont val="Tahoma"/>
            <family val="2"/>
          </rPr>
          <t xml:space="preserve">GROUP E:
</t>
        </r>
        <r>
          <rPr>
            <sz val="9"/>
            <color indexed="81"/>
            <rFont val="Tahoma"/>
            <family val="2"/>
          </rPr>
          <t>Requires over six years of formal education and are generally associated with junior medical and dental staff.</t>
        </r>
      </text>
    </comment>
    <comment ref="Q5" authorId="0" shapeId="0" xr:uid="{7AE72EF0-FA2D-4C16-8FF2-E051AEC5016E}">
      <text>
        <r>
          <rPr>
            <b/>
            <sz val="9"/>
            <color indexed="81"/>
            <rFont val="Tahoma"/>
            <family val="2"/>
          </rPr>
          <t>GROUP F:</t>
        </r>
        <r>
          <rPr>
            <sz val="9"/>
            <color indexed="81"/>
            <rFont val="Tahoma"/>
            <family val="2"/>
          </rPr>
          <t xml:space="preserve">
Requires over six years of formal education and significant experience in post. These skills are associated with consultant and associate specialist grade medical and dental staff.</t>
        </r>
      </text>
    </comment>
    <comment ref="B6" authorId="0" shapeId="0" xr:uid="{2030FCDB-EA67-47F9-BF67-9B403D1A9884}">
      <text>
        <r>
          <rPr>
            <b/>
            <sz val="9"/>
            <color indexed="81"/>
            <rFont val="Tahoma"/>
            <family val="2"/>
          </rPr>
          <t>PREVENT:</t>
        </r>
        <r>
          <rPr>
            <sz val="9"/>
            <color indexed="81"/>
            <rFont val="Tahoma"/>
            <family val="2"/>
          </rPr>
          <t xml:space="preserve">
Reduce the instance or incidence of ill health and demand for care.
</t>
        </r>
        <r>
          <rPr>
            <b/>
            <sz val="9"/>
            <color indexed="81"/>
            <rFont val="Tahoma"/>
            <family val="2"/>
          </rPr>
          <t>ENABLE:</t>
        </r>
        <r>
          <rPr>
            <sz val="9"/>
            <color indexed="81"/>
            <rFont val="Tahoma"/>
            <family val="2"/>
          </rPr>
          <t xml:space="preserve">
Increase the control and capacity service users have to improve their situation.
</t>
        </r>
        <r>
          <rPr>
            <b/>
            <sz val="9"/>
            <color indexed="81"/>
            <rFont val="Tahoma"/>
            <family val="2"/>
          </rPr>
          <t>REHABILITATE:</t>
        </r>
        <r>
          <rPr>
            <sz val="9"/>
            <color indexed="81"/>
            <rFont val="Tahoma"/>
            <family val="2"/>
          </rPr>
          <t xml:space="preserve">
Restore functionality, independence, articipation and even purpose of service user.</t>
        </r>
      </text>
    </comment>
    <comment ref="K6" authorId="0" shapeId="0" xr:uid="{5B9FCCCC-9142-42C9-B494-4FA8B9D844B0}">
      <text>
        <r>
          <rPr>
            <b/>
            <sz val="9"/>
            <color indexed="81"/>
            <rFont val="Tahoma"/>
            <family val="2"/>
          </rPr>
          <t>PREVENT:</t>
        </r>
        <r>
          <rPr>
            <sz val="9"/>
            <color indexed="81"/>
            <rFont val="Tahoma"/>
            <family val="2"/>
          </rPr>
          <t xml:space="preserve">
Reduce the instance or incidence of ill health and demand for care.
</t>
        </r>
        <r>
          <rPr>
            <b/>
            <sz val="9"/>
            <color indexed="81"/>
            <rFont val="Tahoma"/>
            <family val="2"/>
          </rPr>
          <t>ENABLE:</t>
        </r>
        <r>
          <rPr>
            <sz val="9"/>
            <color indexed="81"/>
            <rFont val="Tahoma"/>
            <family val="2"/>
          </rPr>
          <t xml:space="preserve">
Increase the control and capacity service users have to improve their situation.
</t>
        </r>
        <r>
          <rPr>
            <b/>
            <sz val="9"/>
            <color indexed="81"/>
            <rFont val="Tahoma"/>
            <family val="2"/>
          </rPr>
          <t>REHABILITATE:</t>
        </r>
        <r>
          <rPr>
            <sz val="9"/>
            <color indexed="81"/>
            <rFont val="Tahoma"/>
            <family val="2"/>
          </rPr>
          <t xml:space="preserve">
Restore functionality, independence, articipation and even purpose of service user.</t>
        </r>
      </text>
    </comment>
    <comment ref="B7" authorId="0" shapeId="0" xr:uid="{D8727530-E589-458B-A6C0-2534630DB472}">
      <text>
        <r>
          <rPr>
            <b/>
            <sz val="9"/>
            <color indexed="81"/>
            <rFont val="Tahoma"/>
            <family val="2"/>
          </rPr>
          <t xml:space="preserve">ASSESS:
</t>
        </r>
        <r>
          <rPr>
            <sz val="9"/>
            <color indexed="81"/>
            <rFont val="Tahoma"/>
            <family val="2"/>
          </rPr>
          <t xml:space="preserve">Identify and understand a presenting problem, including evaluations.
</t>
        </r>
        <r>
          <rPr>
            <b/>
            <sz val="9"/>
            <color indexed="81"/>
            <rFont val="Tahoma"/>
            <family val="2"/>
          </rPr>
          <t>PLAN:</t>
        </r>
        <r>
          <rPr>
            <sz val="9"/>
            <color indexed="81"/>
            <rFont val="Tahoma"/>
            <family val="2"/>
          </rPr>
          <t xml:space="preserve">
Define the package of skills required to meet service user needs.</t>
        </r>
      </text>
    </comment>
    <comment ref="K7" authorId="0" shapeId="0" xr:uid="{6BD9372C-F983-452A-BF7A-B70EB8108581}">
      <text>
        <r>
          <rPr>
            <b/>
            <sz val="9"/>
            <color indexed="81"/>
            <rFont val="Tahoma"/>
            <family val="2"/>
          </rPr>
          <t xml:space="preserve">ASSESS:
</t>
        </r>
        <r>
          <rPr>
            <sz val="9"/>
            <color indexed="81"/>
            <rFont val="Tahoma"/>
            <family val="2"/>
          </rPr>
          <t xml:space="preserve">Identify and understand a presenting problem, including evaluations.
</t>
        </r>
        <r>
          <rPr>
            <b/>
            <sz val="9"/>
            <color indexed="81"/>
            <rFont val="Tahoma"/>
            <family val="2"/>
          </rPr>
          <t>PLAN:</t>
        </r>
        <r>
          <rPr>
            <sz val="9"/>
            <color indexed="81"/>
            <rFont val="Tahoma"/>
            <family val="2"/>
          </rPr>
          <t xml:space="preserve">
Define the package of skills required to meet service user needs.</t>
        </r>
      </text>
    </comment>
    <comment ref="B8" authorId="0" shapeId="0" xr:uid="{35023E0F-2146-4D64-BE3D-E36641F95594}">
      <text>
        <r>
          <rPr>
            <b/>
            <sz val="9"/>
            <color indexed="81"/>
            <rFont val="Tahoma"/>
            <family val="2"/>
          </rPr>
          <t xml:space="preserve">TREAT:
</t>
        </r>
        <r>
          <rPr>
            <sz val="9"/>
            <color indexed="81"/>
            <rFont val="Tahoma"/>
            <family val="2"/>
          </rPr>
          <t xml:space="preserve">Change the condition and restore the service user to good, or improved health.
</t>
        </r>
        <r>
          <rPr>
            <b/>
            <sz val="9"/>
            <color indexed="81"/>
            <rFont val="Tahoma"/>
            <family val="2"/>
          </rPr>
          <t>RELIEVE:</t>
        </r>
        <r>
          <rPr>
            <sz val="9"/>
            <color indexed="81"/>
            <rFont val="Tahoma"/>
            <family val="2"/>
          </rPr>
          <t xml:space="preserve">
Assist service users by abating symptoms of ill-health and distress and meet support needs</t>
        </r>
      </text>
    </comment>
    <comment ref="K8" authorId="0" shapeId="0" xr:uid="{A74A2DE4-3458-4680-A215-4A80286B4517}">
      <text>
        <r>
          <rPr>
            <b/>
            <sz val="9"/>
            <color indexed="81"/>
            <rFont val="Tahoma"/>
            <family val="2"/>
          </rPr>
          <t xml:space="preserve">TREAT:
</t>
        </r>
        <r>
          <rPr>
            <sz val="9"/>
            <color indexed="81"/>
            <rFont val="Tahoma"/>
            <family val="2"/>
          </rPr>
          <t xml:space="preserve">Change the condition and restore the service user to good, or improved health.
</t>
        </r>
        <r>
          <rPr>
            <b/>
            <sz val="9"/>
            <color indexed="81"/>
            <rFont val="Tahoma"/>
            <family val="2"/>
          </rPr>
          <t>RELIEVE:</t>
        </r>
        <r>
          <rPr>
            <sz val="9"/>
            <color indexed="81"/>
            <rFont val="Tahoma"/>
            <family val="2"/>
          </rPr>
          <t xml:space="preserve">
Assist service users by abating symptoms of ill-health and distress and meet support needs</t>
        </r>
      </text>
    </comment>
    <comment ref="B9" authorId="0" shapeId="0" xr:uid="{F09A3980-DCF6-41BF-A05B-B0A0759771E5}">
      <text>
        <r>
          <rPr>
            <b/>
            <sz val="9"/>
            <color indexed="81"/>
            <rFont val="Tahoma"/>
            <family val="2"/>
          </rPr>
          <t xml:space="preserve">LINK:
</t>
        </r>
        <r>
          <rPr>
            <sz val="9"/>
            <color indexed="81"/>
            <rFont val="Tahoma"/>
            <family val="2"/>
          </rPr>
          <t>Connect different sectors, services, workforces and their skills around a holistic understanding of the needs of the service user.</t>
        </r>
      </text>
    </comment>
    <comment ref="K9" authorId="0" shapeId="0" xr:uid="{859D5D91-1622-4B18-91BF-925D9C64B0D3}">
      <text>
        <r>
          <rPr>
            <b/>
            <sz val="9"/>
            <color indexed="81"/>
            <rFont val="Tahoma"/>
            <family val="2"/>
          </rPr>
          <t xml:space="preserve">LINK:
</t>
        </r>
        <r>
          <rPr>
            <sz val="9"/>
            <color indexed="81"/>
            <rFont val="Tahoma"/>
            <family val="2"/>
          </rPr>
          <t>Connect different sectors, services, workforces and their skills around a holistic understanding of the needs of the service user.</t>
        </r>
      </text>
    </comment>
    <comment ref="C15" authorId="0" shapeId="0" xr:uid="{E8E8F350-F074-4C89-97B7-81A38EDC012C}">
      <text>
        <r>
          <rPr>
            <b/>
            <sz val="9"/>
            <color indexed="81"/>
            <rFont val="Tahoma"/>
            <family val="2"/>
          </rPr>
          <t>GROUP A:</t>
        </r>
        <r>
          <rPr>
            <sz val="9"/>
            <color indexed="81"/>
            <rFont val="Tahoma"/>
            <family val="2"/>
          </rPr>
          <t xml:space="preserve">
Requires no training at all and generally will not involve complex technology.</t>
        </r>
      </text>
    </comment>
    <comment ref="D15" authorId="0" shapeId="0" xr:uid="{85836FE5-5A9C-4786-9A17-95BCA187E0E2}">
      <text>
        <r>
          <rPr>
            <b/>
            <sz val="9"/>
            <color indexed="81"/>
            <rFont val="Tahoma"/>
            <family val="2"/>
          </rPr>
          <t>GROUP B:</t>
        </r>
        <r>
          <rPr>
            <sz val="9"/>
            <color indexed="81"/>
            <rFont val="Tahoma"/>
            <family val="2"/>
          </rPr>
          <t xml:space="preserve">
Requires some training, induction or education of up to a year, or substantial experience of around five years in the role.</t>
        </r>
      </text>
    </comment>
    <comment ref="E15" authorId="0" shapeId="0" xr:uid="{7277B8E3-BC1B-48DF-9319-97459920806B}">
      <text>
        <r>
          <rPr>
            <b/>
            <sz val="9"/>
            <color indexed="81"/>
            <rFont val="Tahoma"/>
            <family val="2"/>
          </rPr>
          <t>GROUP C:</t>
        </r>
        <r>
          <rPr>
            <sz val="9"/>
            <color indexed="81"/>
            <rFont val="Tahoma"/>
            <family val="2"/>
          </rPr>
          <t xml:space="preserve">
Requires three to four years of formal education and are associated
with junior non-medical professions (e.g. occupational therapists).</t>
        </r>
      </text>
    </comment>
    <comment ref="F15" authorId="0" shapeId="0" xr:uid="{4F74CAEF-6AAF-4672-BC81-CDCDE61F41DB}">
      <text>
        <r>
          <rPr>
            <b/>
            <sz val="9"/>
            <color indexed="81"/>
            <rFont val="Tahoma"/>
            <family val="2"/>
          </rPr>
          <t>GROUP D:</t>
        </r>
        <r>
          <rPr>
            <sz val="9"/>
            <color indexed="81"/>
            <rFont val="Tahoma"/>
            <family val="2"/>
          </rPr>
          <t xml:space="preserve">
Requires either four to six years of formal education or three to four years education together with substantial experience. These activities are associated with technical or scientific professionals such as pharmacists or senior non-medical professions (Agenda for Change bands 7-8).</t>
        </r>
      </text>
    </comment>
    <comment ref="G15" authorId="0" shapeId="0" xr:uid="{8DF59B17-D5D2-43B6-9463-1CA808196BCC}">
      <text>
        <r>
          <rPr>
            <b/>
            <sz val="9"/>
            <color indexed="81"/>
            <rFont val="Tahoma"/>
            <family val="2"/>
          </rPr>
          <t xml:space="preserve">GROUP E:
</t>
        </r>
        <r>
          <rPr>
            <sz val="9"/>
            <color indexed="81"/>
            <rFont val="Tahoma"/>
            <family val="2"/>
          </rPr>
          <t>Requires over six years of formal education and are generally associated with junior medical and dental staff.</t>
        </r>
      </text>
    </comment>
    <comment ref="H15" authorId="0" shapeId="0" xr:uid="{86F646FE-B84A-4941-AA59-7FCBD775A331}">
      <text>
        <r>
          <rPr>
            <b/>
            <sz val="9"/>
            <color indexed="81"/>
            <rFont val="Tahoma"/>
            <family val="2"/>
          </rPr>
          <t>GROUP F:</t>
        </r>
        <r>
          <rPr>
            <sz val="9"/>
            <color indexed="81"/>
            <rFont val="Tahoma"/>
            <family val="2"/>
          </rPr>
          <t xml:space="preserve">
Requires over six years of formal education and significant experience in post. These skills are associated with consultant and associate specialist grade medical and dental staff.</t>
        </r>
      </text>
    </comment>
    <comment ref="L15" authorId="0" shapeId="0" xr:uid="{BB1179AF-88FC-4BF2-9BBD-644437D6B7AE}">
      <text>
        <r>
          <rPr>
            <b/>
            <sz val="9"/>
            <color indexed="81"/>
            <rFont val="Tahoma"/>
            <family val="2"/>
          </rPr>
          <t>GROUP A:</t>
        </r>
        <r>
          <rPr>
            <sz val="9"/>
            <color indexed="81"/>
            <rFont val="Tahoma"/>
            <family val="2"/>
          </rPr>
          <t xml:space="preserve">
Requires no training at all and generally will not involve complex technology.</t>
        </r>
      </text>
    </comment>
    <comment ref="M15" authorId="0" shapeId="0" xr:uid="{2D033558-08F1-42F5-AEBB-C5122CB5EA9F}">
      <text>
        <r>
          <rPr>
            <b/>
            <sz val="9"/>
            <color indexed="81"/>
            <rFont val="Tahoma"/>
            <family val="2"/>
          </rPr>
          <t>GROUP B:</t>
        </r>
        <r>
          <rPr>
            <sz val="9"/>
            <color indexed="81"/>
            <rFont val="Tahoma"/>
            <family val="2"/>
          </rPr>
          <t xml:space="preserve">
Requires some training, induction or education of up to a year, or substantial experience of around five years in the role.</t>
        </r>
      </text>
    </comment>
    <comment ref="N15" authorId="0" shapeId="0" xr:uid="{75203D64-CF43-484B-BF29-C7BB2104A05B}">
      <text>
        <r>
          <rPr>
            <b/>
            <sz val="9"/>
            <color indexed="81"/>
            <rFont val="Tahoma"/>
            <family val="2"/>
          </rPr>
          <t>GROUP C:</t>
        </r>
        <r>
          <rPr>
            <sz val="9"/>
            <color indexed="81"/>
            <rFont val="Tahoma"/>
            <family val="2"/>
          </rPr>
          <t xml:space="preserve">
Requires three to four years of formal education and are associated
with junior non-medical professions (e.g. occupational therapists).</t>
        </r>
      </text>
    </comment>
    <comment ref="O15" authorId="0" shapeId="0" xr:uid="{B2DCA6C8-C301-47A3-9B4A-A81A9632C262}">
      <text>
        <r>
          <rPr>
            <b/>
            <sz val="9"/>
            <color indexed="81"/>
            <rFont val="Tahoma"/>
            <family val="2"/>
          </rPr>
          <t>GROUP D:</t>
        </r>
        <r>
          <rPr>
            <sz val="9"/>
            <color indexed="81"/>
            <rFont val="Tahoma"/>
            <family val="2"/>
          </rPr>
          <t xml:space="preserve">
Requires either four to six years of formal education or three to four years education together with substantial experience. These activities are associated with technical or scientific professionals such as pharmacists or senior non-medical professions (Agenda for Change bands 7-8).</t>
        </r>
      </text>
    </comment>
    <comment ref="P15" authorId="0" shapeId="0" xr:uid="{4E1DBE41-87F5-4DAE-B54E-4BB066BB41A1}">
      <text>
        <r>
          <rPr>
            <b/>
            <sz val="9"/>
            <color indexed="81"/>
            <rFont val="Tahoma"/>
            <family val="2"/>
          </rPr>
          <t xml:space="preserve">GROUP E:
</t>
        </r>
        <r>
          <rPr>
            <sz val="9"/>
            <color indexed="81"/>
            <rFont val="Tahoma"/>
            <family val="2"/>
          </rPr>
          <t>Requires over six years of formal education and are generally associated with junior medical and dental staff.</t>
        </r>
      </text>
    </comment>
    <comment ref="Q15" authorId="0" shapeId="0" xr:uid="{762E676E-16BF-41D9-A586-9B8653C53E3F}">
      <text>
        <r>
          <rPr>
            <b/>
            <sz val="9"/>
            <color indexed="81"/>
            <rFont val="Tahoma"/>
            <family val="2"/>
          </rPr>
          <t>GROUP F:</t>
        </r>
        <r>
          <rPr>
            <sz val="9"/>
            <color indexed="81"/>
            <rFont val="Tahoma"/>
            <family val="2"/>
          </rPr>
          <t xml:space="preserve">
Requires over six years of formal education and significant experience in post. These skills are associated with consultant and associate specialist grade medical and dental staff.</t>
        </r>
      </text>
    </comment>
    <comment ref="B16" authorId="0" shapeId="0" xr:uid="{F72BEBB5-08F6-4314-AF9A-9760B2790D75}">
      <text>
        <r>
          <rPr>
            <b/>
            <sz val="9"/>
            <color indexed="81"/>
            <rFont val="Tahoma"/>
            <family val="2"/>
          </rPr>
          <t>PREVENT:</t>
        </r>
        <r>
          <rPr>
            <sz val="9"/>
            <color indexed="81"/>
            <rFont val="Tahoma"/>
            <family val="2"/>
          </rPr>
          <t xml:space="preserve">
Reduce the instance or incidence of ill health and demand for care.
</t>
        </r>
        <r>
          <rPr>
            <b/>
            <sz val="9"/>
            <color indexed="81"/>
            <rFont val="Tahoma"/>
            <family val="2"/>
          </rPr>
          <t>ENABLE:</t>
        </r>
        <r>
          <rPr>
            <sz val="9"/>
            <color indexed="81"/>
            <rFont val="Tahoma"/>
            <family val="2"/>
          </rPr>
          <t xml:space="preserve">
Increase the control and capacity service users have to improve their situation.
</t>
        </r>
        <r>
          <rPr>
            <b/>
            <sz val="9"/>
            <color indexed="81"/>
            <rFont val="Tahoma"/>
            <family val="2"/>
          </rPr>
          <t>REHABILITATE:</t>
        </r>
        <r>
          <rPr>
            <sz val="9"/>
            <color indexed="81"/>
            <rFont val="Tahoma"/>
            <family val="2"/>
          </rPr>
          <t xml:space="preserve">
Restore functionality, independence, articipation and even purpose of service user.</t>
        </r>
      </text>
    </comment>
    <comment ref="K16" authorId="0" shapeId="0" xr:uid="{7F94AEB0-D520-4012-82B8-45C8D828FDB3}">
      <text>
        <r>
          <rPr>
            <b/>
            <sz val="9"/>
            <color indexed="81"/>
            <rFont val="Tahoma"/>
            <family val="2"/>
          </rPr>
          <t>PREVENT:</t>
        </r>
        <r>
          <rPr>
            <sz val="9"/>
            <color indexed="81"/>
            <rFont val="Tahoma"/>
            <family val="2"/>
          </rPr>
          <t xml:space="preserve">
Reduce the instance or incidence of ill health and demand for care.
</t>
        </r>
        <r>
          <rPr>
            <b/>
            <sz val="9"/>
            <color indexed="81"/>
            <rFont val="Tahoma"/>
            <family val="2"/>
          </rPr>
          <t>ENABLE:</t>
        </r>
        <r>
          <rPr>
            <sz val="9"/>
            <color indexed="81"/>
            <rFont val="Tahoma"/>
            <family val="2"/>
          </rPr>
          <t xml:space="preserve">
Increase the control and capacity service users have to improve their situation.
</t>
        </r>
        <r>
          <rPr>
            <b/>
            <sz val="9"/>
            <color indexed="81"/>
            <rFont val="Tahoma"/>
            <family val="2"/>
          </rPr>
          <t>REHABILITATE:</t>
        </r>
        <r>
          <rPr>
            <sz val="9"/>
            <color indexed="81"/>
            <rFont val="Tahoma"/>
            <family val="2"/>
          </rPr>
          <t xml:space="preserve">
Restore functionality, independence, articipation and even purpose of service user.</t>
        </r>
      </text>
    </comment>
    <comment ref="B17" authorId="0" shapeId="0" xr:uid="{D5BE4B57-1093-46D1-87C5-AFDD79F9C0A9}">
      <text>
        <r>
          <rPr>
            <b/>
            <sz val="9"/>
            <color indexed="81"/>
            <rFont val="Tahoma"/>
            <family val="2"/>
          </rPr>
          <t xml:space="preserve">ASSESS:
</t>
        </r>
        <r>
          <rPr>
            <sz val="9"/>
            <color indexed="81"/>
            <rFont val="Tahoma"/>
            <family val="2"/>
          </rPr>
          <t xml:space="preserve">Identify and understand a presenting problem, including evaluations.
</t>
        </r>
        <r>
          <rPr>
            <b/>
            <sz val="9"/>
            <color indexed="81"/>
            <rFont val="Tahoma"/>
            <family val="2"/>
          </rPr>
          <t>PLAN:</t>
        </r>
        <r>
          <rPr>
            <sz val="9"/>
            <color indexed="81"/>
            <rFont val="Tahoma"/>
            <family val="2"/>
          </rPr>
          <t xml:space="preserve">
Define the package of skills required to meet service user needs.</t>
        </r>
      </text>
    </comment>
    <comment ref="K17" authorId="0" shapeId="0" xr:uid="{2B43F3B9-4010-4830-8FC3-D48E7EDF53E9}">
      <text>
        <r>
          <rPr>
            <b/>
            <sz val="9"/>
            <color indexed="81"/>
            <rFont val="Tahoma"/>
            <family val="2"/>
          </rPr>
          <t xml:space="preserve">ASSESS:
</t>
        </r>
        <r>
          <rPr>
            <sz val="9"/>
            <color indexed="81"/>
            <rFont val="Tahoma"/>
            <family val="2"/>
          </rPr>
          <t xml:space="preserve">Identify and understand a presenting problem, including evaluations.
</t>
        </r>
        <r>
          <rPr>
            <b/>
            <sz val="9"/>
            <color indexed="81"/>
            <rFont val="Tahoma"/>
            <family val="2"/>
          </rPr>
          <t>PLAN:</t>
        </r>
        <r>
          <rPr>
            <sz val="9"/>
            <color indexed="81"/>
            <rFont val="Tahoma"/>
            <family val="2"/>
          </rPr>
          <t xml:space="preserve">
Define the package of skills required to meet service user needs.</t>
        </r>
      </text>
    </comment>
    <comment ref="B18" authorId="0" shapeId="0" xr:uid="{B2EA855A-9069-4C67-A141-ACC1D49D36E8}">
      <text>
        <r>
          <rPr>
            <b/>
            <sz val="9"/>
            <color indexed="81"/>
            <rFont val="Tahoma"/>
            <family val="2"/>
          </rPr>
          <t xml:space="preserve">TREAT:
</t>
        </r>
        <r>
          <rPr>
            <sz val="9"/>
            <color indexed="81"/>
            <rFont val="Tahoma"/>
            <family val="2"/>
          </rPr>
          <t xml:space="preserve">Change the condition and restore the service user to good, or improved health.
</t>
        </r>
        <r>
          <rPr>
            <b/>
            <sz val="9"/>
            <color indexed="81"/>
            <rFont val="Tahoma"/>
            <family val="2"/>
          </rPr>
          <t>RELIEVE:</t>
        </r>
        <r>
          <rPr>
            <sz val="9"/>
            <color indexed="81"/>
            <rFont val="Tahoma"/>
            <family val="2"/>
          </rPr>
          <t xml:space="preserve">
Assist service users by abating symptoms of ill-health and distress and meet support needs</t>
        </r>
      </text>
    </comment>
    <comment ref="K18" authorId="0" shapeId="0" xr:uid="{BF41EA43-E7B6-4621-9F50-238E0E04508C}">
      <text>
        <r>
          <rPr>
            <b/>
            <sz val="9"/>
            <color indexed="81"/>
            <rFont val="Tahoma"/>
            <family val="2"/>
          </rPr>
          <t xml:space="preserve">TREAT:
</t>
        </r>
        <r>
          <rPr>
            <sz val="9"/>
            <color indexed="81"/>
            <rFont val="Tahoma"/>
            <family val="2"/>
          </rPr>
          <t xml:space="preserve">Change the condition and restore the service user to good, or improved health.
</t>
        </r>
        <r>
          <rPr>
            <b/>
            <sz val="9"/>
            <color indexed="81"/>
            <rFont val="Tahoma"/>
            <family val="2"/>
          </rPr>
          <t>RELIEVE:</t>
        </r>
        <r>
          <rPr>
            <sz val="9"/>
            <color indexed="81"/>
            <rFont val="Tahoma"/>
            <family val="2"/>
          </rPr>
          <t xml:space="preserve">
Assist service users by abating symptoms of ill-health and distress and meet support needs</t>
        </r>
      </text>
    </comment>
    <comment ref="B19" authorId="0" shapeId="0" xr:uid="{0FB3C309-6089-4E7B-BD7E-FA2E642F30E2}">
      <text>
        <r>
          <rPr>
            <b/>
            <sz val="9"/>
            <color indexed="81"/>
            <rFont val="Tahoma"/>
            <family val="2"/>
          </rPr>
          <t xml:space="preserve">LINK:
</t>
        </r>
        <r>
          <rPr>
            <sz val="9"/>
            <color indexed="81"/>
            <rFont val="Tahoma"/>
            <family val="2"/>
          </rPr>
          <t>Connect different sectors, services, workforces and their skills around a holistic understanding of the needs of the service user.</t>
        </r>
      </text>
    </comment>
    <comment ref="K19" authorId="0" shapeId="0" xr:uid="{A64679A1-A97A-41E7-B58C-1403FCBDAACD}">
      <text>
        <r>
          <rPr>
            <b/>
            <sz val="9"/>
            <color indexed="81"/>
            <rFont val="Tahoma"/>
            <family val="2"/>
          </rPr>
          <t xml:space="preserve">LINK:
</t>
        </r>
        <r>
          <rPr>
            <sz val="9"/>
            <color indexed="81"/>
            <rFont val="Tahoma"/>
            <family val="2"/>
          </rPr>
          <t>Connect different sectors, services, workforces and their skills around a holistic understanding of the needs of the service user.</t>
        </r>
      </text>
    </comment>
    <comment ref="C25" authorId="0" shapeId="0" xr:uid="{490E73D3-68E2-421E-81ED-4FD9E35C5D28}">
      <text>
        <r>
          <rPr>
            <b/>
            <sz val="9"/>
            <color indexed="81"/>
            <rFont val="Tahoma"/>
            <family val="2"/>
          </rPr>
          <t>GROUP A:</t>
        </r>
        <r>
          <rPr>
            <sz val="9"/>
            <color indexed="81"/>
            <rFont val="Tahoma"/>
            <family val="2"/>
          </rPr>
          <t xml:space="preserve">
Requires no training at all and generally will not involve complex technology.</t>
        </r>
      </text>
    </comment>
    <comment ref="D25" authorId="0" shapeId="0" xr:uid="{32FF4D5B-0629-4E8E-8328-9BC35A306A50}">
      <text>
        <r>
          <rPr>
            <b/>
            <sz val="9"/>
            <color indexed="81"/>
            <rFont val="Tahoma"/>
            <family val="2"/>
          </rPr>
          <t>GROUP B:</t>
        </r>
        <r>
          <rPr>
            <sz val="9"/>
            <color indexed="81"/>
            <rFont val="Tahoma"/>
            <family val="2"/>
          </rPr>
          <t xml:space="preserve">
Requires some training, induction or education of up to a year, or substantial experience of around five years in the role.</t>
        </r>
      </text>
    </comment>
    <comment ref="E25" authorId="0" shapeId="0" xr:uid="{F1D1F13B-12C8-40A9-8694-B9E0BBB5172B}">
      <text>
        <r>
          <rPr>
            <b/>
            <sz val="9"/>
            <color indexed="81"/>
            <rFont val="Tahoma"/>
            <family val="2"/>
          </rPr>
          <t>GROUP C:</t>
        </r>
        <r>
          <rPr>
            <sz val="9"/>
            <color indexed="81"/>
            <rFont val="Tahoma"/>
            <family val="2"/>
          </rPr>
          <t xml:space="preserve">
Requires three to four years of formal education and are associated
with junior non-medical professions (e.g. occupational therapists).</t>
        </r>
      </text>
    </comment>
    <comment ref="F25" authorId="0" shapeId="0" xr:uid="{53AD4534-07C1-417C-B69B-4B26E008E233}">
      <text>
        <r>
          <rPr>
            <b/>
            <sz val="9"/>
            <color indexed="81"/>
            <rFont val="Tahoma"/>
            <family val="2"/>
          </rPr>
          <t>GROUP D:</t>
        </r>
        <r>
          <rPr>
            <sz val="9"/>
            <color indexed="81"/>
            <rFont val="Tahoma"/>
            <family val="2"/>
          </rPr>
          <t xml:space="preserve">
Requires either four to six years of formal education or three to four years education together with substantial experience. These activities are associated with technical or scientific professionals such as pharmacists or senior non-medical professions (Agenda for Change bands 7-8).</t>
        </r>
      </text>
    </comment>
    <comment ref="G25" authorId="0" shapeId="0" xr:uid="{1D78BD93-76F0-4557-B1F6-A7B8B533A56B}">
      <text>
        <r>
          <rPr>
            <b/>
            <sz val="9"/>
            <color indexed="81"/>
            <rFont val="Tahoma"/>
            <family val="2"/>
          </rPr>
          <t xml:space="preserve">GROUP E:
</t>
        </r>
        <r>
          <rPr>
            <sz val="9"/>
            <color indexed="81"/>
            <rFont val="Tahoma"/>
            <family val="2"/>
          </rPr>
          <t>Requires over six years of formal education and are generally associated with junior medical and dental staff.</t>
        </r>
      </text>
    </comment>
    <comment ref="H25" authorId="0" shapeId="0" xr:uid="{EA38DE18-6FDC-4715-87F2-E5C784D10F8F}">
      <text>
        <r>
          <rPr>
            <b/>
            <sz val="9"/>
            <color indexed="81"/>
            <rFont val="Tahoma"/>
            <family val="2"/>
          </rPr>
          <t>GROUP F:</t>
        </r>
        <r>
          <rPr>
            <sz val="9"/>
            <color indexed="81"/>
            <rFont val="Tahoma"/>
            <family val="2"/>
          </rPr>
          <t xml:space="preserve">
Requires over six years of formal education and significant experience in post. These skills are associated with consultant and associate specialist grade medical and dental staff.</t>
        </r>
      </text>
    </comment>
    <comment ref="B26" authorId="0" shapeId="0" xr:uid="{FBFE0DC1-0EBF-446D-B3A7-870B8C6883F2}">
      <text>
        <r>
          <rPr>
            <b/>
            <sz val="9"/>
            <color indexed="81"/>
            <rFont val="Tahoma"/>
            <family val="2"/>
          </rPr>
          <t>PREVENT:</t>
        </r>
        <r>
          <rPr>
            <sz val="9"/>
            <color indexed="81"/>
            <rFont val="Tahoma"/>
            <family val="2"/>
          </rPr>
          <t xml:space="preserve">
Reduce the instance or incidence of ill health and demand for care.
</t>
        </r>
        <r>
          <rPr>
            <b/>
            <sz val="9"/>
            <color indexed="81"/>
            <rFont val="Tahoma"/>
            <family val="2"/>
          </rPr>
          <t>ENABLE:</t>
        </r>
        <r>
          <rPr>
            <sz val="9"/>
            <color indexed="81"/>
            <rFont val="Tahoma"/>
            <family val="2"/>
          </rPr>
          <t xml:space="preserve">
Increase the control and capacity service users have to improve their situation.
</t>
        </r>
        <r>
          <rPr>
            <b/>
            <sz val="9"/>
            <color indexed="81"/>
            <rFont val="Tahoma"/>
            <family val="2"/>
          </rPr>
          <t>REHABILITATE:</t>
        </r>
        <r>
          <rPr>
            <sz val="9"/>
            <color indexed="81"/>
            <rFont val="Tahoma"/>
            <family val="2"/>
          </rPr>
          <t xml:space="preserve">
Restore functionality, independence, articipation and even purpose of service user.</t>
        </r>
      </text>
    </comment>
    <comment ref="B27" authorId="0" shapeId="0" xr:uid="{3B6CA3EC-CDB2-48FA-A9A3-71EEAADBAFCF}">
      <text>
        <r>
          <rPr>
            <b/>
            <sz val="9"/>
            <color indexed="81"/>
            <rFont val="Tahoma"/>
            <family val="2"/>
          </rPr>
          <t xml:space="preserve">ASSESS:
</t>
        </r>
        <r>
          <rPr>
            <sz val="9"/>
            <color indexed="81"/>
            <rFont val="Tahoma"/>
            <family val="2"/>
          </rPr>
          <t xml:space="preserve">Identify and understand a presenting problem, including evaluations.
</t>
        </r>
        <r>
          <rPr>
            <b/>
            <sz val="9"/>
            <color indexed="81"/>
            <rFont val="Tahoma"/>
            <family val="2"/>
          </rPr>
          <t>PLAN:</t>
        </r>
        <r>
          <rPr>
            <sz val="9"/>
            <color indexed="81"/>
            <rFont val="Tahoma"/>
            <family val="2"/>
          </rPr>
          <t xml:space="preserve">
Define the package of skills required to meet service user needs.</t>
        </r>
      </text>
    </comment>
    <comment ref="B28" authorId="0" shapeId="0" xr:uid="{AD32AD3D-DA8C-40C4-9999-DBF36986E9EC}">
      <text>
        <r>
          <rPr>
            <b/>
            <sz val="9"/>
            <color indexed="81"/>
            <rFont val="Tahoma"/>
            <family val="2"/>
          </rPr>
          <t xml:space="preserve">TREAT:
</t>
        </r>
        <r>
          <rPr>
            <sz val="9"/>
            <color indexed="81"/>
            <rFont val="Tahoma"/>
            <family val="2"/>
          </rPr>
          <t xml:space="preserve">Change the condition and restore the service user to good, or improved health.
</t>
        </r>
        <r>
          <rPr>
            <b/>
            <sz val="9"/>
            <color indexed="81"/>
            <rFont val="Tahoma"/>
            <family val="2"/>
          </rPr>
          <t>RELIEVE:</t>
        </r>
        <r>
          <rPr>
            <sz val="9"/>
            <color indexed="81"/>
            <rFont val="Tahoma"/>
            <family val="2"/>
          </rPr>
          <t xml:space="preserve">
Assist service users by abating symptoms of ill-health and distress and meet support needs</t>
        </r>
      </text>
    </comment>
    <comment ref="B29" authorId="0" shapeId="0" xr:uid="{FD02DB28-C067-4FAC-9BFF-7C2A015C5D73}">
      <text>
        <r>
          <rPr>
            <b/>
            <sz val="9"/>
            <color indexed="81"/>
            <rFont val="Tahoma"/>
            <family val="2"/>
          </rPr>
          <t xml:space="preserve">LINK:
</t>
        </r>
        <r>
          <rPr>
            <sz val="9"/>
            <color indexed="81"/>
            <rFont val="Tahoma"/>
            <family val="2"/>
          </rPr>
          <t>Connect different sectors, services, workforces and their skills around a holistic understanding of the needs of the service user.</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Richard Blackwell</author>
  </authors>
  <commentList>
    <comment ref="C5" authorId="0" shapeId="0" xr:uid="{A79211ED-F005-41AF-B299-49CA172013EB}">
      <text>
        <r>
          <rPr>
            <b/>
            <sz val="9"/>
            <color indexed="81"/>
            <rFont val="Tahoma"/>
            <family val="2"/>
          </rPr>
          <t>GROUP A:</t>
        </r>
        <r>
          <rPr>
            <sz val="9"/>
            <color indexed="81"/>
            <rFont val="Tahoma"/>
            <family val="2"/>
          </rPr>
          <t xml:space="preserve">
Requires no training at all and generally will not involve complex technology.</t>
        </r>
      </text>
    </comment>
    <comment ref="D5" authorId="0" shapeId="0" xr:uid="{8F9D2EF0-B155-48DD-BA10-AC9BD3CAF1F9}">
      <text>
        <r>
          <rPr>
            <b/>
            <sz val="9"/>
            <color indexed="81"/>
            <rFont val="Tahoma"/>
            <family val="2"/>
          </rPr>
          <t>GROUP B:</t>
        </r>
        <r>
          <rPr>
            <sz val="9"/>
            <color indexed="81"/>
            <rFont val="Tahoma"/>
            <family val="2"/>
          </rPr>
          <t xml:space="preserve">
Requires some training, induction or education of up to a year, or substantial experience of around five years in the role.</t>
        </r>
      </text>
    </comment>
    <comment ref="E5" authorId="0" shapeId="0" xr:uid="{FBEAD4A0-F902-4197-AC6D-A2F640D510F2}">
      <text>
        <r>
          <rPr>
            <b/>
            <sz val="9"/>
            <color indexed="81"/>
            <rFont val="Tahoma"/>
            <family val="2"/>
          </rPr>
          <t>GROUP C:</t>
        </r>
        <r>
          <rPr>
            <sz val="9"/>
            <color indexed="81"/>
            <rFont val="Tahoma"/>
            <family val="2"/>
          </rPr>
          <t xml:space="preserve">
Requires three to four years of formal education and are associated
with junior non-medical professions (e.g. occupational therapists).</t>
        </r>
      </text>
    </comment>
    <comment ref="F5" authorId="0" shapeId="0" xr:uid="{8B998DBA-1462-48A6-9A7E-BC4A933263F1}">
      <text>
        <r>
          <rPr>
            <b/>
            <sz val="9"/>
            <color indexed="81"/>
            <rFont val="Tahoma"/>
            <family val="2"/>
          </rPr>
          <t>GROUP D:</t>
        </r>
        <r>
          <rPr>
            <sz val="9"/>
            <color indexed="81"/>
            <rFont val="Tahoma"/>
            <family val="2"/>
          </rPr>
          <t xml:space="preserve">
Requires either four to six years of formal education or three to four years education together with substantial experience. These activities are associated with technical or scientific professionals such as pharmacists or senior non-medical professions (Agenda for Change bands 7-8).</t>
        </r>
      </text>
    </comment>
    <comment ref="G5" authorId="0" shapeId="0" xr:uid="{7B53C80F-3FAC-45EB-954A-816646A8C4AA}">
      <text>
        <r>
          <rPr>
            <b/>
            <sz val="9"/>
            <color indexed="81"/>
            <rFont val="Tahoma"/>
            <family val="2"/>
          </rPr>
          <t xml:space="preserve">GROUP E:
</t>
        </r>
        <r>
          <rPr>
            <sz val="9"/>
            <color indexed="81"/>
            <rFont val="Tahoma"/>
            <family val="2"/>
          </rPr>
          <t>Requires over six years of formal education and are generally associated with junior medical and dental staff.</t>
        </r>
      </text>
    </comment>
    <comment ref="H5" authorId="0" shapeId="0" xr:uid="{16327397-EB69-42A9-8C36-41ABB8E51A50}">
      <text>
        <r>
          <rPr>
            <b/>
            <sz val="9"/>
            <color indexed="81"/>
            <rFont val="Tahoma"/>
            <family val="2"/>
          </rPr>
          <t>GROUP F:</t>
        </r>
        <r>
          <rPr>
            <sz val="9"/>
            <color indexed="81"/>
            <rFont val="Tahoma"/>
            <family val="2"/>
          </rPr>
          <t xml:space="preserve">
Requires over six years of formal education and significant experience in post. These skills are associated with consultant and associate specialist grade medical and dental staff.</t>
        </r>
      </text>
    </comment>
    <comment ref="L5" authorId="0" shapeId="0" xr:uid="{50CAD6E9-3B56-4EC1-BF97-FB8FEC57EF28}">
      <text>
        <r>
          <rPr>
            <b/>
            <sz val="9"/>
            <color indexed="81"/>
            <rFont val="Tahoma"/>
            <family val="2"/>
          </rPr>
          <t>GROUP A:</t>
        </r>
        <r>
          <rPr>
            <sz val="9"/>
            <color indexed="81"/>
            <rFont val="Tahoma"/>
            <family val="2"/>
          </rPr>
          <t xml:space="preserve">
Requires no training at all and generally will not involve complex technology.</t>
        </r>
      </text>
    </comment>
    <comment ref="M5" authorId="0" shapeId="0" xr:uid="{C02CF6CE-79C3-40EA-8DB1-DC51718DF63C}">
      <text>
        <r>
          <rPr>
            <b/>
            <sz val="9"/>
            <color indexed="81"/>
            <rFont val="Tahoma"/>
            <family val="2"/>
          </rPr>
          <t>GROUP B:</t>
        </r>
        <r>
          <rPr>
            <sz val="9"/>
            <color indexed="81"/>
            <rFont val="Tahoma"/>
            <family val="2"/>
          </rPr>
          <t xml:space="preserve">
Requires some training, induction or education of up to a year, or substantial experience of around five years in the role.</t>
        </r>
      </text>
    </comment>
    <comment ref="N5" authorId="0" shapeId="0" xr:uid="{DCDA8176-C261-49DF-81A2-310B514D8E26}">
      <text>
        <r>
          <rPr>
            <b/>
            <sz val="9"/>
            <color indexed="81"/>
            <rFont val="Tahoma"/>
            <family val="2"/>
          </rPr>
          <t>GROUP C:</t>
        </r>
        <r>
          <rPr>
            <sz val="9"/>
            <color indexed="81"/>
            <rFont val="Tahoma"/>
            <family val="2"/>
          </rPr>
          <t xml:space="preserve">
Requires three to four years of formal education and are associated
with junior non-medical professions (e.g. occupational therapists).</t>
        </r>
      </text>
    </comment>
    <comment ref="O5" authorId="0" shapeId="0" xr:uid="{C09098AA-4ED3-4BF2-A09D-65B389CD7CC6}">
      <text>
        <r>
          <rPr>
            <b/>
            <sz val="9"/>
            <color indexed="81"/>
            <rFont val="Tahoma"/>
            <family val="2"/>
          </rPr>
          <t>GROUP D:</t>
        </r>
        <r>
          <rPr>
            <sz val="9"/>
            <color indexed="81"/>
            <rFont val="Tahoma"/>
            <family val="2"/>
          </rPr>
          <t xml:space="preserve">
Requires either four to six years of formal education or three to four years education together with substantial experience. These activities are associated with technical or scientific professionals such as pharmacists or senior non-medical professions (Agenda for Change bands 7-8).</t>
        </r>
      </text>
    </comment>
    <comment ref="P5" authorId="0" shapeId="0" xr:uid="{51686C83-8A40-4E79-9929-33AB3342096E}">
      <text>
        <r>
          <rPr>
            <b/>
            <sz val="9"/>
            <color indexed="81"/>
            <rFont val="Tahoma"/>
            <family val="2"/>
          </rPr>
          <t xml:space="preserve">GROUP E:
</t>
        </r>
        <r>
          <rPr>
            <sz val="9"/>
            <color indexed="81"/>
            <rFont val="Tahoma"/>
            <family val="2"/>
          </rPr>
          <t>Requires over six years of formal education and are generally associated with junior medical and dental staff.</t>
        </r>
      </text>
    </comment>
    <comment ref="Q5" authorId="0" shapeId="0" xr:uid="{16D6A7F2-9F94-40BE-9291-4757348D1B00}">
      <text>
        <r>
          <rPr>
            <b/>
            <sz val="9"/>
            <color indexed="81"/>
            <rFont val="Tahoma"/>
            <family val="2"/>
          </rPr>
          <t>GROUP F:</t>
        </r>
        <r>
          <rPr>
            <sz val="9"/>
            <color indexed="81"/>
            <rFont val="Tahoma"/>
            <family val="2"/>
          </rPr>
          <t xml:space="preserve">
Requires over six years of formal education and significant experience in post. These skills are associated with consultant and associate specialist grade medical and dental staff.</t>
        </r>
      </text>
    </comment>
    <comment ref="B6" authorId="0" shapeId="0" xr:uid="{07D9AC0E-A82C-4F00-A091-8D64D4FE5A3C}">
      <text>
        <r>
          <rPr>
            <b/>
            <sz val="9"/>
            <color indexed="81"/>
            <rFont val="Tahoma"/>
            <family val="2"/>
          </rPr>
          <t>PREVENT:</t>
        </r>
        <r>
          <rPr>
            <sz val="9"/>
            <color indexed="81"/>
            <rFont val="Tahoma"/>
            <family val="2"/>
          </rPr>
          <t xml:space="preserve">
Reduce the instance or incidence of ill health and demand for care.
</t>
        </r>
        <r>
          <rPr>
            <b/>
            <sz val="9"/>
            <color indexed="81"/>
            <rFont val="Tahoma"/>
            <family val="2"/>
          </rPr>
          <t>ENABLE:</t>
        </r>
        <r>
          <rPr>
            <sz val="9"/>
            <color indexed="81"/>
            <rFont val="Tahoma"/>
            <family val="2"/>
          </rPr>
          <t xml:space="preserve">
Increase the control and capacity service users have to improve their situation.
</t>
        </r>
        <r>
          <rPr>
            <b/>
            <sz val="9"/>
            <color indexed="81"/>
            <rFont val="Tahoma"/>
            <family val="2"/>
          </rPr>
          <t>REHABILITATE:</t>
        </r>
        <r>
          <rPr>
            <sz val="9"/>
            <color indexed="81"/>
            <rFont val="Tahoma"/>
            <family val="2"/>
          </rPr>
          <t xml:space="preserve">
Restore functionality, independence, articipation and even purpose of service user.</t>
        </r>
      </text>
    </comment>
    <comment ref="K6" authorId="0" shapeId="0" xr:uid="{EE8740D8-5361-4412-BB71-254F87027629}">
      <text>
        <r>
          <rPr>
            <b/>
            <sz val="9"/>
            <color indexed="81"/>
            <rFont val="Tahoma"/>
            <family val="2"/>
          </rPr>
          <t>PREVENT:</t>
        </r>
        <r>
          <rPr>
            <sz val="9"/>
            <color indexed="81"/>
            <rFont val="Tahoma"/>
            <family val="2"/>
          </rPr>
          <t xml:space="preserve">
Reduce the instance or incidence of ill health and demand for care.
</t>
        </r>
        <r>
          <rPr>
            <b/>
            <sz val="9"/>
            <color indexed="81"/>
            <rFont val="Tahoma"/>
            <family val="2"/>
          </rPr>
          <t>ENABLE:</t>
        </r>
        <r>
          <rPr>
            <sz val="9"/>
            <color indexed="81"/>
            <rFont val="Tahoma"/>
            <family val="2"/>
          </rPr>
          <t xml:space="preserve">
Increase the control and capacity service users have to improve their situation.
</t>
        </r>
        <r>
          <rPr>
            <b/>
            <sz val="9"/>
            <color indexed="81"/>
            <rFont val="Tahoma"/>
            <family val="2"/>
          </rPr>
          <t>REHABILITATE:</t>
        </r>
        <r>
          <rPr>
            <sz val="9"/>
            <color indexed="81"/>
            <rFont val="Tahoma"/>
            <family val="2"/>
          </rPr>
          <t xml:space="preserve">
Restore functionality, independence, articipation and even purpose of service user.</t>
        </r>
      </text>
    </comment>
    <comment ref="B7" authorId="0" shapeId="0" xr:uid="{14EB0AC3-0A47-482E-BBD7-156B7A94CCB9}">
      <text>
        <r>
          <rPr>
            <b/>
            <sz val="9"/>
            <color indexed="81"/>
            <rFont val="Tahoma"/>
            <family val="2"/>
          </rPr>
          <t xml:space="preserve">ASSESS:
</t>
        </r>
        <r>
          <rPr>
            <sz val="9"/>
            <color indexed="81"/>
            <rFont val="Tahoma"/>
            <family val="2"/>
          </rPr>
          <t xml:space="preserve">Identify and understand a presenting problem, including evaluations.
</t>
        </r>
        <r>
          <rPr>
            <b/>
            <sz val="9"/>
            <color indexed="81"/>
            <rFont val="Tahoma"/>
            <family val="2"/>
          </rPr>
          <t>PLAN:</t>
        </r>
        <r>
          <rPr>
            <sz val="9"/>
            <color indexed="81"/>
            <rFont val="Tahoma"/>
            <family val="2"/>
          </rPr>
          <t xml:space="preserve">
Define the package of skills required to meet service user needs.</t>
        </r>
      </text>
    </comment>
    <comment ref="K7" authorId="0" shapeId="0" xr:uid="{619D2CAA-2DD0-4590-BCA4-ADC87B097B2F}">
      <text>
        <r>
          <rPr>
            <b/>
            <sz val="9"/>
            <color indexed="81"/>
            <rFont val="Tahoma"/>
            <family val="2"/>
          </rPr>
          <t xml:space="preserve">ASSESS:
</t>
        </r>
        <r>
          <rPr>
            <sz val="9"/>
            <color indexed="81"/>
            <rFont val="Tahoma"/>
            <family val="2"/>
          </rPr>
          <t xml:space="preserve">Identify and understand a presenting problem, including evaluations.
</t>
        </r>
        <r>
          <rPr>
            <b/>
            <sz val="9"/>
            <color indexed="81"/>
            <rFont val="Tahoma"/>
            <family val="2"/>
          </rPr>
          <t>PLAN:</t>
        </r>
        <r>
          <rPr>
            <sz val="9"/>
            <color indexed="81"/>
            <rFont val="Tahoma"/>
            <family val="2"/>
          </rPr>
          <t xml:space="preserve">
Define the package of skills required to meet service user needs.</t>
        </r>
      </text>
    </comment>
    <comment ref="B8" authorId="0" shapeId="0" xr:uid="{FC2C7993-6EED-4866-A38A-8BA0E3D5DA3E}">
      <text>
        <r>
          <rPr>
            <b/>
            <sz val="9"/>
            <color indexed="81"/>
            <rFont val="Tahoma"/>
            <family val="2"/>
          </rPr>
          <t xml:space="preserve">TREAT:
</t>
        </r>
        <r>
          <rPr>
            <sz val="9"/>
            <color indexed="81"/>
            <rFont val="Tahoma"/>
            <family val="2"/>
          </rPr>
          <t xml:space="preserve">Change the condition and restore the service user to good, or improved health.
</t>
        </r>
        <r>
          <rPr>
            <b/>
            <sz val="9"/>
            <color indexed="81"/>
            <rFont val="Tahoma"/>
            <family val="2"/>
          </rPr>
          <t>RELIEVE:</t>
        </r>
        <r>
          <rPr>
            <sz val="9"/>
            <color indexed="81"/>
            <rFont val="Tahoma"/>
            <family val="2"/>
          </rPr>
          <t xml:space="preserve">
Assist service users by abating symptoms of ill-health and distress and meet support needs</t>
        </r>
      </text>
    </comment>
    <comment ref="K8" authorId="0" shapeId="0" xr:uid="{737A5D30-838A-4817-BAED-DC4D0EEEF6A6}">
      <text>
        <r>
          <rPr>
            <b/>
            <sz val="9"/>
            <color indexed="81"/>
            <rFont val="Tahoma"/>
            <family val="2"/>
          </rPr>
          <t xml:space="preserve">TREAT:
</t>
        </r>
        <r>
          <rPr>
            <sz val="9"/>
            <color indexed="81"/>
            <rFont val="Tahoma"/>
            <family val="2"/>
          </rPr>
          <t xml:space="preserve">Change the condition and restore the service user to good, or improved health.
</t>
        </r>
        <r>
          <rPr>
            <b/>
            <sz val="9"/>
            <color indexed="81"/>
            <rFont val="Tahoma"/>
            <family val="2"/>
          </rPr>
          <t>RELIEVE:</t>
        </r>
        <r>
          <rPr>
            <sz val="9"/>
            <color indexed="81"/>
            <rFont val="Tahoma"/>
            <family val="2"/>
          </rPr>
          <t xml:space="preserve">
Assist service users by abating symptoms of ill-health and distress and meet support needs</t>
        </r>
      </text>
    </comment>
    <comment ref="B9" authorId="0" shapeId="0" xr:uid="{F5649047-4007-4A66-B2E4-BC74AC855F7C}">
      <text>
        <r>
          <rPr>
            <b/>
            <sz val="9"/>
            <color indexed="81"/>
            <rFont val="Tahoma"/>
            <family val="2"/>
          </rPr>
          <t xml:space="preserve">LINK:
</t>
        </r>
        <r>
          <rPr>
            <sz val="9"/>
            <color indexed="81"/>
            <rFont val="Tahoma"/>
            <family val="2"/>
          </rPr>
          <t>Connect different sectors, services, workforces and their skills around a holistic understanding of the needs of the service user.</t>
        </r>
      </text>
    </comment>
    <comment ref="K9" authorId="0" shapeId="0" xr:uid="{768A5655-7DC6-48D3-A910-ED15259FA784}">
      <text>
        <r>
          <rPr>
            <b/>
            <sz val="9"/>
            <color indexed="81"/>
            <rFont val="Tahoma"/>
            <family val="2"/>
          </rPr>
          <t xml:space="preserve">LINK:
</t>
        </r>
        <r>
          <rPr>
            <sz val="9"/>
            <color indexed="81"/>
            <rFont val="Tahoma"/>
            <family val="2"/>
          </rPr>
          <t>Connect different sectors, services, workforces and their skills around a holistic understanding of the needs of the service user.</t>
        </r>
      </text>
    </comment>
    <comment ref="C15" authorId="0" shapeId="0" xr:uid="{DEE39095-8321-45F4-B7F1-69ED1764B425}">
      <text>
        <r>
          <rPr>
            <b/>
            <sz val="9"/>
            <color indexed="81"/>
            <rFont val="Tahoma"/>
            <family val="2"/>
          </rPr>
          <t>GROUP A:</t>
        </r>
        <r>
          <rPr>
            <sz val="9"/>
            <color indexed="81"/>
            <rFont val="Tahoma"/>
            <family val="2"/>
          </rPr>
          <t xml:space="preserve">
Requires no training at all and generally will not involve complex technology.</t>
        </r>
      </text>
    </comment>
    <comment ref="D15" authorId="0" shapeId="0" xr:uid="{E99669C1-6B9A-41BF-B6CC-CFC6C7CC3172}">
      <text>
        <r>
          <rPr>
            <b/>
            <sz val="9"/>
            <color indexed="81"/>
            <rFont val="Tahoma"/>
            <family val="2"/>
          </rPr>
          <t>GROUP B:</t>
        </r>
        <r>
          <rPr>
            <sz val="9"/>
            <color indexed="81"/>
            <rFont val="Tahoma"/>
            <family val="2"/>
          </rPr>
          <t xml:space="preserve">
Requires some training, induction or education of up to a year, or substantial experience of around five years in the role.</t>
        </r>
      </text>
    </comment>
    <comment ref="E15" authorId="0" shapeId="0" xr:uid="{3AF45FBD-CB92-4685-97F9-89079E48B0A0}">
      <text>
        <r>
          <rPr>
            <b/>
            <sz val="9"/>
            <color indexed="81"/>
            <rFont val="Tahoma"/>
            <family val="2"/>
          </rPr>
          <t>GROUP C:</t>
        </r>
        <r>
          <rPr>
            <sz val="9"/>
            <color indexed="81"/>
            <rFont val="Tahoma"/>
            <family val="2"/>
          </rPr>
          <t xml:space="preserve">
Requires three to four years of formal education and are associated
with junior non-medical professions (e.g. occupational therapists).</t>
        </r>
      </text>
    </comment>
    <comment ref="F15" authorId="0" shapeId="0" xr:uid="{A07A92C7-AD91-4FCF-8B8A-6FA00E022F3A}">
      <text>
        <r>
          <rPr>
            <b/>
            <sz val="9"/>
            <color indexed="81"/>
            <rFont val="Tahoma"/>
            <family val="2"/>
          </rPr>
          <t>GROUP D:</t>
        </r>
        <r>
          <rPr>
            <sz val="9"/>
            <color indexed="81"/>
            <rFont val="Tahoma"/>
            <family val="2"/>
          </rPr>
          <t xml:space="preserve">
Requires either four to six years of formal education or three to four years education together with substantial experience. These activities are associated with technical or scientific professionals such as pharmacists or senior non-medical professions (Agenda for Change bands 7-8).</t>
        </r>
      </text>
    </comment>
    <comment ref="G15" authorId="0" shapeId="0" xr:uid="{A1592376-4D29-4DA0-B130-0EBBE1277AB5}">
      <text>
        <r>
          <rPr>
            <b/>
            <sz val="9"/>
            <color indexed="81"/>
            <rFont val="Tahoma"/>
            <family val="2"/>
          </rPr>
          <t xml:space="preserve">GROUP E:
</t>
        </r>
        <r>
          <rPr>
            <sz val="9"/>
            <color indexed="81"/>
            <rFont val="Tahoma"/>
            <family val="2"/>
          </rPr>
          <t>Requires over six years of formal education and are generally associated with junior medical and dental staff.</t>
        </r>
      </text>
    </comment>
    <comment ref="H15" authorId="0" shapeId="0" xr:uid="{04E507CA-A784-4221-94C3-BD200CB1B57C}">
      <text>
        <r>
          <rPr>
            <b/>
            <sz val="9"/>
            <color indexed="81"/>
            <rFont val="Tahoma"/>
            <family val="2"/>
          </rPr>
          <t>GROUP F:</t>
        </r>
        <r>
          <rPr>
            <sz val="9"/>
            <color indexed="81"/>
            <rFont val="Tahoma"/>
            <family val="2"/>
          </rPr>
          <t xml:space="preserve">
Requires over six years of formal education and significant experience in post. These skills are associated with consultant and associate specialist grade medical and dental staff.</t>
        </r>
      </text>
    </comment>
    <comment ref="L15" authorId="0" shapeId="0" xr:uid="{3AEBE739-6050-4B2F-8607-26EA3274730E}">
      <text>
        <r>
          <rPr>
            <b/>
            <sz val="9"/>
            <color indexed="81"/>
            <rFont val="Tahoma"/>
            <family val="2"/>
          </rPr>
          <t>GROUP A:</t>
        </r>
        <r>
          <rPr>
            <sz val="9"/>
            <color indexed="81"/>
            <rFont val="Tahoma"/>
            <family val="2"/>
          </rPr>
          <t xml:space="preserve">
Requires no training at all and generally will not involve complex technology.</t>
        </r>
      </text>
    </comment>
    <comment ref="M15" authorId="0" shapeId="0" xr:uid="{95E0BD2C-0BDB-4519-A5B9-83720DF16D5D}">
      <text>
        <r>
          <rPr>
            <b/>
            <sz val="9"/>
            <color indexed="81"/>
            <rFont val="Tahoma"/>
            <family val="2"/>
          </rPr>
          <t>GROUP B:</t>
        </r>
        <r>
          <rPr>
            <sz val="9"/>
            <color indexed="81"/>
            <rFont val="Tahoma"/>
            <family val="2"/>
          </rPr>
          <t xml:space="preserve">
Requires some training, induction or education of up to a year, or substantial experience of around five years in the role.</t>
        </r>
      </text>
    </comment>
    <comment ref="N15" authorId="0" shapeId="0" xr:uid="{B522DF8F-A06F-46C0-B25A-A7C9EC88A04F}">
      <text>
        <r>
          <rPr>
            <b/>
            <sz val="9"/>
            <color indexed="81"/>
            <rFont val="Tahoma"/>
            <family val="2"/>
          </rPr>
          <t>GROUP C:</t>
        </r>
        <r>
          <rPr>
            <sz val="9"/>
            <color indexed="81"/>
            <rFont val="Tahoma"/>
            <family val="2"/>
          </rPr>
          <t xml:space="preserve">
Requires three to four years of formal education and are associated
with junior non-medical professions (e.g. occupational therapists).</t>
        </r>
      </text>
    </comment>
    <comment ref="O15" authorId="0" shapeId="0" xr:uid="{829C8704-C941-4D96-8143-073AEEAC26AE}">
      <text>
        <r>
          <rPr>
            <b/>
            <sz val="9"/>
            <color indexed="81"/>
            <rFont val="Tahoma"/>
            <family val="2"/>
          </rPr>
          <t>GROUP D:</t>
        </r>
        <r>
          <rPr>
            <sz val="9"/>
            <color indexed="81"/>
            <rFont val="Tahoma"/>
            <family val="2"/>
          </rPr>
          <t xml:space="preserve">
Requires either four to six years of formal education or three to four years education together with substantial experience. These activities are associated with technical or scientific professionals such as pharmacists or senior non-medical professions (Agenda for Change bands 7-8).</t>
        </r>
      </text>
    </comment>
    <comment ref="P15" authorId="0" shapeId="0" xr:uid="{3C92FECE-039F-45F5-A808-798BDCEBB157}">
      <text>
        <r>
          <rPr>
            <b/>
            <sz val="9"/>
            <color indexed="81"/>
            <rFont val="Tahoma"/>
            <family val="2"/>
          </rPr>
          <t xml:space="preserve">GROUP E:
</t>
        </r>
        <r>
          <rPr>
            <sz val="9"/>
            <color indexed="81"/>
            <rFont val="Tahoma"/>
            <family val="2"/>
          </rPr>
          <t>Requires over six years of formal education and are generally associated with junior medical and dental staff.</t>
        </r>
      </text>
    </comment>
    <comment ref="Q15" authorId="0" shapeId="0" xr:uid="{73380A31-CF73-49AF-A5E2-082E2FC0236A}">
      <text>
        <r>
          <rPr>
            <b/>
            <sz val="9"/>
            <color indexed="81"/>
            <rFont val="Tahoma"/>
            <family val="2"/>
          </rPr>
          <t>GROUP F:</t>
        </r>
        <r>
          <rPr>
            <sz val="9"/>
            <color indexed="81"/>
            <rFont val="Tahoma"/>
            <family val="2"/>
          </rPr>
          <t xml:space="preserve">
Requires over six years of formal education and significant experience in post. These skills are associated with consultant and associate specialist grade medical and dental staff.</t>
        </r>
      </text>
    </comment>
    <comment ref="B16" authorId="0" shapeId="0" xr:uid="{24DCC2E3-BDAE-4AE3-BE58-EC55241EE07A}">
      <text>
        <r>
          <rPr>
            <b/>
            <sz val="9"/>
            <color indexed="81"/>
            <rFont val="Tahoma"/>
            <family val="2"/>
          </rPr>
          <t>PREVENT:</t>
        </r>
        <r>
          <rPr>
            <sz val="9"/>
            <color indexed="81"/>
            <rFont val="Tahoma"/>
            <family val="2"/>
          </rPr>
          <t xml:space="preserve">
Reduce the instance or incidence of ill health and demand for care.
</t>
        </r>
        <r>
          <rPr>
            <b/>
            <sz val="9"/>
            <color indexed="81"/>
            <rFont val="Tahoma"/>
            <family val="2"/>
          </rPr>
          <t>ENABLE:</t>
        </r>
        <r>
          <rPr>
            <sz val="9"/>
            <color indexed="81"/>
            <rFont val="Tahoma"/>
            <family val="2"/>
          </rPr>
          <t xml:space="preserve">
Increase the control and capacity service users have to improve their situation.
</t>
        </r>
        <r>
          <rPr>
            <b/>
            <sz val="9"/>
            <color indexed="81"/>
            <rFont val="Tahoma"/>
            <family val="2"/>
          </rPr>
          <t>REHABILITATE:</t>
        </r>
        <r>
          <rPr>
            <sz val="9"/>
            <color indexed="81"/>
            <rFont val="Tahoma"/>
            <family val="2"/>
          </rPr>
          <t xml:space="preserve">
Restore functionality, independence, articipation and even purpose of service user.</t>
        </r>
      </text>
    </comment>
    <comment ref="K16" authorId="0" shapeId="0" xr:uid="{D709F088-7CBF-42FA-847C-FA2F60198836}">
      <text>
        <r>
          <rPr>
            <b/>
            <sz val="9"/>
            <color indexed="81"/>
            <rFont val="Tahoma"/>
            <family val="2"/>
          </rPr>
          <t>PREVENT:</t>
        </r>
        <r>
          <rPr>
            <sz val="9"/>
            <color indexed="81"/>
            <rFont val="Tahoma"/>
            <family val="2"/>
          </rPr>
          <t xml:space="preserve">
Reduce the instance or incidence of ill health and demand for care.
</t>
        </r>
        <r>
          <rPr>
            <b/>
            <sz val="9"/>
            <color indexed="81"/>
            <rFont val="Tahoma"/>
            <family val="2"/>
          </rPr>
          <t>ENABLE:</t>
        </r>
        <r>
          <rPr>
            <sz val="9"/>
            <color indexed="81"/>
            <rFont val="Tahoma"/>
            <family val="2"/>
          </rPr>
          <t xml:space="preserve">
Increase the control and capacity service users have to improve their situation.
</t>
        </r>
        <r>
          <rPr>
            <b/>
            <sz val="9"/>
            <color indexed="81"/>
            <rFont val="Tahoma"/>
            <family val="2"/>
          </rPr>
          <t>REHABILITATE:</t>
        </r>
        <r>
          <rPr>
            <sz val="9"/>
            <color indexed="81"/>
            <rFont val="Tahoma"/>
            <family val="2"/>
          </rPr>
          <t xml:space="preserve">
Restore functionality, independence, articipation and even purpose of service user.</t>
        </r>
      </text>
    </comment>
    <comment ref="B17" authorId="0" shapeId="0" xr:uid="{33B347C8-C12C-41AC-B361-F1BCEA9335A3}">
      <text>
        <r>
          <rPr>
            <b/>
            <sz val="9"/>
            <color indexed="81"/>
            <rFont val="Tahoma"/>
            <family val="2"/>
          </rPr>
          <t xml:space="preserve">ASSESS:
</t>
        </r>
        <r>
          <rPr>
            <sz val="9"/>
            <color indexed="81"/>
            <rFont val="Tahoma"/>
            <family val="2"/>
          </rPr>
          <t xml:space="preserve">Identify and understand a presenting problem, including evaluations.
</t>
        </r>
        <r>
          <rPr>
            <b/>
            <sz val="9"/>
            <color indexed="81"/>
            <rFont val="Tahoma"/>
            <family val="2"/>
          </rPr>
          <t>PLAN:</t>
        </r>
        <r>
          <rPr>
            <sz val="9"/>
            <color indexed="81"/>
            <rFont val="Tahoma"/>
            <family val="2"/>
          </rPr>
          <t xml:space="preserve">
Define the package of skills required to meet service user needs.</t>
        </r>
      </text>
    </comment>
    <comment ref="K17" authorId="0" shapeId="0" xr:uid="{2122AAC6-7745-453A-8D52-16E9DC508682}">
      <text>
        <r>
          <rPr>
            <b/>
            <sz val="9"/>
            <color indexed="81"/>
            <rFont val="Tahoma"/>
            <family val="2"/>
          </rPr>
          <t xml:space="preserve">ASSESS:
</t>
        </r>
        <r>
          <rPr>
            <sz val="9"/>
            <color indexed="81"/>
            <rFont val="Tahoma"/>
            <family val="2"/>
          </rPr>
          <t xml:space="preserve">Identify and understand a presenting problem, including evaluations.
</t>
        </r>
        <r>
          <rPr>
            <b/>
            <sz val="9"/>
            <color indexed="81"/>
            <rFont val="Tahoma"/>
            <family val="2"/>
          </rPr>
          <t>PLAN:</t>
        </r>
        <r>
          <rPr>
            <sz val="9"/>
            <color indexed="81"/>
            <rFont val="Tahoma"/>
            <family val="2"/>
          </rPr>
          <t xml:space="preserve">
Define the package of skills required to meet service user needs.</t>
        </r>
      </text>
    </comment>
    <comment ref="B18" authorId="0" shapeId="0" xr:uid="{2B588A4D-0153-4975-A0F3-2F6512B5DB6B}">
      <text>
        <r>
          <rPr>
            <b/>
            <sz val="9"/>
            <color indexed="81"/>
            <rFont val="Tahoma"/>
            <family val="2"/>
          </rPr>
          <t xml:space="preserve">TREAT:
</t>
        </r>
        <r>
          <rPr>
            <sz val="9"/>
            <color indexed="81"/>
            <rFont val="Tahoma"/>
            <family val="2"/>
          </rPr>
          <t xml:space="preserve">Change the condition and restore the service user to good, or improved health.
</t>
        </r>
        <r>
          <rPr>
            <b/>
            <sz val="9"/>
            <color indexed="81"/>
            <rFont val="Tahoma"/>
            <family val="2"/>
          </rPr>
          <t>RELIEVE:</t>
        </r>
        <r>
          <rPr>
            <sz val="9"/>
            <color indexed="81"/>
            <rFont val="Tahoma"/>
            <family val="2"/>
          </rPr>
          <t xml:space="preserve">
Assist service users by abating symptoms of ill-health and distress and meet support needs</t>
        </r>
      </text>
    </comment>
    <comment ref="K18" authorId="0" shapeId="0" xr:uid="{206350E9-8AB3-4038-B28C-C47269F2ABED}">
      <text>
        <r>
          <rPr>
            <b/>
            <sz val="9"/>
            <color indexed="81"/>
            <rFont val="Tahoma"/>
            <family val="2"/>
          </rPr>
          <t xml:space="preserve">TREAT:
</t>
        </r>
        <r>
          <rPr>
            <sz val="9"/>
            <color indexed="81"/>
            <rFont val="Tahoma"/>
            <family val="2"/>
          </rPr>
          <t xml:space="preserve">Change the condition and restore the service user to good, or improved health.
</t>
        </r>
        <r>
          <rPr>
            <b/>
            <sz val="9"/>
            <color indexed="81"/>
            <rFont val="Tahoma"/>
            <family val="2"/>
          </rPr>
          <t>RELIEVE:</t>
        </r>
        <r>
          <rPr>
            <sz val="9"/>
            <color indexed="81"/>
            <rFont val="Tahoma"/>
            <family val="2"/>
          </rPr>
          <t xml:space="preserve">
Assist service users by abating symptoms of ill-health and distress and meet support needs</t>
        </r>
      </text>
    </comment>
    <comment ref="B19" authorId="0" shapeId="0" xr:uid="{63EA1C46-A070-42BE-8998-E05DD2BCE527}">
      <text>
        <r>
          <rPr>
            <b/>
            <sz val="9"/>
            <color indexed="81"/>
            <rFont val="Tahoma"/>
            <family val="2"/>
          </rPr>
          <t xml:space="preserve">LINK:
</t>
        </r>
        <r>
          <rPr>
            <sz val="9"/>
            <color indexed="81"/>
            <rFont val="Tahoma"/>
            <family val="2"/>
          </rPr>
          <t>Connect different sectors, services, workforces and their skills around a holistic understanding of the needs of the service user.</t>
        </r>
      </text>
    </comment>
    <comment ref="K19" authorId="0" shapeId="0" xr:uid="{75ECB49F-D3D7-4DC4-8AE8-1ECE3C423608}">
      <text>
        <r>
          <rPr>
            <b/>
            <sz val="9"/>
            <color indexed="81"/>
            <rFont val="Tahoma"/>
            <family val="2"/>
          </rPr>
          <t xml:space="preserve">LINK:
</t>
        </r>
        <r>
          <rPr>
            <sz val="9"/>
            <color indexed="81"/>
            <rFont val="Tahoma"/>
            <family val="2"/>
          </rPr>
          <t>Connect different sectors, services, workforces and their skills around a holistic understanding of the needs of the service user.</t>
        </r>
      </text>
    </comment>
    <comment ref="C25" authorId="0" shapeId="0" xr:uid="{41CD2A07-6BB8-4861-AF82-B5CB94A9DECA}">
      <text>
        <r>
          <rPr>
            <b/>
            <sz val="9"/>
            <color indexed="81"/>
            <rFont val="Tahoma"/>
            <family val="2"/>
          </rPr>
          <t>GROUP A:</t>
        </r>
        <r>
          <rPr>
            <sz val="9"/>
            <color indexed="81"/>
            <rFont val="Tahoma"/>
            <family val="2"/>
          </rPr>
          <t xml:space="preserve">
Requires no training at all and generally will not involve complex technology.</t>
        </r>
      </text>
    </comment>
    <comment ref="D25" authorId="0" shapeId="0" xr:uid="{5D449AF5-3A7B-4250-8DB7-4273DEA5851F}">
      <text>
        <r>
          <rPr>
            <b/>
            <sz val="9"/>
            <color indexed="81"/>
            <rFont val="Tahoma"/>
            <family val="2"/>
          </rPr>
          <t>GROUP B:</t>
        </r>
        <r>
          <rPr>
            <sz val="9"/>
            <color indexed="81"/>
            <rFont val="Tahoma"/>
            <family val="2"/>
          </rPr>
          <t xml:space="preserve">
Requires some training, induction or education of up to a year, or substantial experience of around five years in the role.</t>
        </r>
      </text>
    </comment>
    <comment ref="E25" authorId="0" shapeId="0" xr:uid="{A9DECCDC-CC1B-4595-B404-CB761DD1A87B}">
      <text>
        <r>
          <rPr>
            <b/>
            <sz val="9"/>
            <color indexed="81"/>
            <rFont val="Tahoma"/>
            <family val="2"/>
          </rPr>
          <t>GROUP C:</t>
        </r>
        <r>
          <rPr>
            <sz val="9"/>
            <color indexed="81"/>
            <rFont val="Tahoma"/>
            <family val="2"/>
          </rPr>
          <t xml:space="preserve">
Requires three to four years of formal education and are associated
with junior non-medical professions (e.g. occupational therapists).</t>
        </r>
      </text>
    </comment>
    <comment ref="F25" authorId="0" shapeId="0" xr:uid="{5A6FAC45-9C74-4634-82C6-C3B88F481522}">
      <text>
        <r>
          <rPr>
            <b/>
            <sz val="9"/>
            <color indexed="81"/>
            <rFont val="Tahoma"/>
            <family val="2"/>
          </rPr>
          <t>GROUP D:</t>
        </r>
        <r>
          <rPr>
            <sz val="9"/>
            <color indexed="81"/>
            <rFont val="Tahoma"/>
            <family val="2"/>
          </rPr>
          <t xml:space="preserve">
Requires either four to six years of formal education or three to four years education together with substantial experience. These activities are associated with technical or scientific professionals such as pharmacists or senior non-medical professions (Agenda for Change bands 7-8).</t>
        </r>
      </text>
    </comment>
    <comment ref="G25" authorId="0" shapeId="0" xr:uid="{CCA126E5-FD8F-4122-B4B9-0C41293E3B40}">
      <text>
        <r>
          <rPr>
            <b/>
            <sz val="9"/>
            <color indexed="81"/>
            <rFont val="Tahoma"/>
            <family val="2"/>
          </rPr>
          <t xml:space="preserve">GROUP E:
</t>
        </r>
        <r>
          <rPr>
            <sz val="9"/>
            <color indexed="81"/>
            <rFont val="Tahoma"/>
            <family val="2"/>
          </rPr>
          <t>Requires over six years of formal education and are generally associated with junior medical and dental staff.</t>
        </r>
      </text>
    </comment>
    <comment ref="H25" authorId="0" shapeId="0" xr:uid="{CAFB7C2C-1D9B-43BC-800B-D043E7A84A15}">
      <text>
        <r>
          <rPr>
            <b/>
            <sz val="9"/>
            <color indexed="81"/>
            <rFont val="Tahoma"/>
            <family val="2"/>
          </rPr>
          <t>GROUP F:</t>
        </r>
        <r>
          <rPr>
            <sz val="9"/>
            <color indexed="81"/>
            <rFont val="Tahoma"/>
            <family val="2"/>
          </rPr>
          <t xml:space="preserve">
Requires over six years of formal education and significant experience in post. These skills are associated with consultant and associate specialist grade medical and dental staff.</t>
        </r>
      </text>
    </comment>
    <comment ref="B26" authorId="0" shapeId="0" xr:uid="{00D40F7D-18BB-4E45-8C2A-6A37543A4B19}">
      <text>
        <r>
          <rPr>
            <b/>
            <sz val="9"/>
            <color indexed="81"/>
            <rFont val="Tahoma"/>
            <family val="2"/>
          </rPr>
          <t>PREVENT:</t>
        </r>
        <r>
          <rPr>
            <sz val="9"/>
            <color indexed="81"/>
            <rFont val="Tahoma"/>
            <family val="2"/>
          </rPr>
          <t xml:space="preserve">
Reduce the instance or incidence of ill health and demand for care.
</t>
        </r>
        <r>
          <rPr>
            <b/>
            <sz val="9"/>
            <color indexed="81"/>
            <rFont val="Tahoma"/>
            <family val="2"/>
          </rPr>
          <t>ENABLE:</t>
        </r>
        <r>
          <rPr>
            <sz val="9"/>
            <color indexed="81"/>
            <rFont val="Tahoma"/>
            <family val="2"/>
          </rPr>
          <t xml:space="preserve">
Increase the control and capacity service users have to improve their situation.
</t>
        </r>
        <r>
          <rPr>
            <b/>
            <sz val="9"/>
            <color indexed="81"/>
            <rFont val="Tahoma"/>
            <family val="2"/>
          </rPr>
          <t>REHABILITATE:</t>
        </r>
        <r>
          <rPr>
            <sz val="9"/>
            <color indexed="81"/>
            <rFont val="Tahoma"/>
            <family val="2"/>
          </rPr>
          <t xml:space="preserve">
Restore functionality, independence, articipation and even purpose of service user.</t>
        </r>
      </text>
    </comment>
    <comment ref="B27" authorId="0" shapeId="0" xr:uid="{1F9D3BCE-EEB7-47A4-9707-8517B54E9094}">
      <text>
        <r>
          <rPr>
            <b/>
            <sz val="9"/>
            <color indexed="81"/>
            <rFont val="Tahoma"/>
            <family val="2"/>
          </rPr>
          <t xml:space="preserve">ASSESS:
</t>
        </r>
        <r>
          <rPr>
            <sz val="9"/>
            <color indexed="81"/>
            <rFont val="Tahoma"/>
            <family val="2"/>
          </rPr>
          <t xml:space="preserve">Identify and understand a presenting problem, including evaluations.
</t>
        </r>
        <r>
          <rPr>
            <b/>
            <sz val="9"/>
            <color indexed="81"/>
            <rFont val="Tahoma"/>
            <family val="2"/>
          </rPr>
          <t>PLAN:</t>
        </r>
        <r>
          <rPr>
            <sz val="9"/>
            <color indexed="81"/>
            <rFont val="Tahoma"/>
            <family val="2"/>
          </rPr>
          <t xml:space="preserve">
Define the package of skills required to meet service user needs.</t>
        </r>
      </text>
    </comment>
    <comment ref="B28" authorId="0" shapeId="0" xr:uid="{7BFB16F1-ABBE-496B-A2C1-1D719A9E5F9F}">
      <text>
        <r>
          <rPr>
            <b/>
            <sz val="9"/>
            <color indexed="81"/>
            <rFont val="Tahoma"/>
            <family val="2"/>
          </rPr>
          <t xml:space="preserve">TREAT:
</t>
        </r>
        <r>
          <rPr>
            <sz val="9"/>
            <color indexed="81"/>
            <rFont val="Tahoma"/>
            <family val="2"/>
          </rPr>
          <t xml:space="preserve">Change the condition and restore the service user to good, or improved health.
</t>
        </r>
        <r>
          <rPr>
            <b/>
            <sz val="9"/>
            <color indexed="81"/>
            <rFont val="Tahoma"/>
            <family val="2"/>
          </rPr>
          <t>RELIEVE:</t>
        </r>
        <r>
          <rPr>
            <sz val="9"/>
            <color indexed="81"/>
            <rFont val="Tahoma"/>
            <family val="2"/>
          </rPr>
          <t xml:space="preserve">
Assist service users by abating symptoms of ill-health and distress and meet support needs</t>
        </r>
      </text>
    </comment>
    <comment ref="B29" authorId="0" shapeId="0" xr:uid="{9C5D28B8-3E9C-4242-8DFC-5E76BAAFDD24}">
      <text>
        <r>
          <rPr>
            <b/>
            <sz val="9"/>
            <color indexed="81"/>
            <rFont val="Tahoma"/>
            <family val="2"/>
          </rPr>
          <t xml:space="preserve">LINK:
</t>
        </r>
        <r>
          <rPr>
            <sz val="9"/>
            <color indexed="81"/>
            <rFont val="Tahoma"/>
            <family val="2"/>
          </rPr>
          <t>Connect different sectors, services, workforces and their skills around a holistic understanding of the needs of the service user.</t>
        </r>
      </text>
    </comment>
  </commentList>
</comments>
</file>

<file path=xl/sharedStrings.xml><?xml version="1.0" encoding="utf-8"?>
<sst xmlns="http://schemas.openxmlformats.org/spreadsheetml/2006/main" count="1091" uniqueCount="141">
  <si>
    <t>Skill Level</t>
  </si>
  <si>
    <t>FTE</t>
  </si>
  <si>
    <t>Role Description</t>
  </si>
  <si>
    <t>Year</t>
  </si>
  <si>
    <t>Count of Conditions</t>
  </si>
  <si>
    <t>Number of Patients</t>
  </si>
  <si>
    <t>Period</t>
  </si>
  <si>
    <t>Baseline</t>
  </si>
  <si>
    <t>Forecast</t>
  </si>
  <si>
    <t>Conditions</t>
  </si>
  <si>
    <t>Population</t>
  </si>
  <si>
    <t>% of Popn</t>
  </si>
  <si>
    <t>Segment Description</t>
  </si>
  <si>
    <t>From (&gt;=)</t>
  </si>
  <si>
    <t>To (&lt;)</t>
  </si>
  <si>
    <t>% Growth</t>
  </si>
  <si>
    <t>Green</t>
  </si>
  <si>
    <t>Amber</t>
  </si>
  <si>
    <t>Blue</t>
  </si>
  <si>
    <t>Red</t>
  </si>
  <si>
    <t>Nurse</t>
  </si>
  <si>
    <t>B</t>
  </si>
  <si>
    <t>C</t>
  </si>
  <si>
    <t>D</t>
  </si>
  <si>
    <t>E</t>
  </si>
  <si>
    <t>F</t>
  </si>
  <si>
    <t>Group</t>
  </si>
  <si>
    <t>Role Category</t>
  </si>
  <si>
    <t>Original Horizon 2035 Matrix</t>
  </si>
  <si>
    <t>Task</t>
  </si>
  <si>
    <t>Overall</t>
  </si>
  <si>
    <t>Prevent</t>
  </si>
  <si>
    <t>Enable</t>
  </si>
  <si>
    <t>Assess</t>
  </si>
  <si>
    <t>Plan</t>
  </si>
  <si>
    <t>Treat</t>
  </si>
  <si>
    <t>Rehabilitate</t>
  </si>
  <si>
    <t>Relieve</t>
  </si>
  <si>
    <t>Link</t>
  </si>
  <si>
    <t>Assessment and Planning</t>
  </si>
  <si>
    <t>Treatment and Relieving</t>
  </si>
  <si>
    <t>Prevention, Enablement and Rehabilitation</t>
  </si>
  <si>
    <t>Linking</t>
  </si>
  <si>
    <t>Revised Horizon 2035 Matrix</t>
  </si>
  <si>
    <t>Workforce Group Standardised Revised Horizon 2035 Matrix</t>
  </si>
  <si>
    <t>A</t>
  </si>
  <si>
    <t>Green Segment</t>
  </si>
  <si>
    <t>Amber Segment</t>
  </si>
  <si>
    <t>Blue Segment</t>
  </si>
  <si>
    <t>Red Segment</t>
  </si>
  <si>
    <t>Segment</t>
  </si>
  <si>
    <t>Weeks per FTE</t>
  </si>
  <si>
    <t>Hours per Week</t>
  </si>
  <si>
    <t>Workforce Group Standardised - Revised Horizon 2035 Matrix</t>
  </si>
  <si>
    <t>Workforce Split by Group and Population Segment</t>
  </si>
  <si>
    <t>Workforce Hours per Year by Group</t>
  </si>
  <si>
    <t>Workforce Group</t>
  </si>
  <si>
    <t>Hour per FTE</t>
  </si>
  <si>
    <t>Digital and Transformation Lead</t>
  </si>
  <si>
    <t>Managers</t>
  </si>
  <si>
    <t>Apprentices</t>
  </si>
  <si>
    <t>Estates and Ancillary</t>
  </si>
  <si>
    <t>Management Partners</t>
  </si>
  <si>
    <t>Medical Secretaries</t>
  </si>
  <si>
    <t>Other Admin and Non-Clinical</t>
  </si>
  <si>
    <t>Telephonists</t>
  </si>
  <si>
    <t>Receptionists</t>
  </si>
  <si>
    <t>Non-clinical Director</t>
  </si>
  <si>
    <t>GP Partners</t>
  </si>
  <si>
    <t>GP Regular Locums</t>
  </si>
  <si>
    <t>GP Retainers</t>
  </si>
  <si>
    <t>Salaried GPs (exclude those funded by ARRS)</t>
  </si>
  <si>
    <t>Medical Clinical Director (GP)</t>
  </si>
  <si>
    <t>Salaried GPs (ARRS funded)</t>
  </si>
  <si>
    <t>GPs in Training Grade</t>
  </si>
  <si>
    <t>Advanced Nurse Practitioners</t>
  </si>
  <si>
    <t>Clinical Director (Nurse)</t>
  </si>
  <si>
    <t>Advanced Dietician Practitioners</t>
  </si>
  <si>
    <t>Advanced Occupational Therapist Practitioners</t>
  </si>
  <si>
    <t>Advanced Paramedic Practitioners</t>
  </si>
  <si>
    <t>Advanced Pharmacist Practitioners</t>
  </si>
  <si>
    <t>Advanced Physiotherapist Practitioners</t>
  </si>
  <si>
    <t>Advanced Podiatrist Practitioners</t>
  </si>
  <si>
    <t>Clinical Director (Direct Patient Care)</t>
  </si>
  <si>
    <t>Extended Role Practice Nurses</t>
  </si>
  <si>
    <t>Nurse Dispensers</t>
  </si>
  <si>
    <t>Nurse Specialists</t>
  </si>
  <si>
    <t>Nursing Partners</t>
  </si>
  <si>
    <t>Other Nurses</t>
  </si>
  <si>
    <t>Apprentice Physician Associates</t>
  </si>
  <si>
    <t>Pharmacists</t>
  </si>
  <si>
    <t>Physician Associates</t>
  </si>
  <si>
    <t>Practice Nurses</t>
  </si>
  <si>
    <t>Adult Mental Health Practitioners</t>
  </si>
  <si>
    <t>Children and Young Persons Mental Health Practitioners</t>
  </si>
  <si>
    <t>Dietitian</t>
  </si>
  <si>
    <t>Nursing Associates</t>
  </si>
  <si>
    <t>Occupational Therapists</t>
  </si>
  <si>
    <t>Paramedics</t>
  </si>
  <si>
    <t>Physiotherapists</t>
  </si>
  <si>
    <t>Podiatrists</t>
  </si>
  <si>
    <t>NHS Talking Therapies (previously referred to as IAPT) Staff</t>
  </si>
  <si>
    <t>Trainee NHS Talking Therapies (previously referred to as IAPT) Staff</t>
  </si>
  <si>
    <t>Trainee Nurses</t>
  </si>
  <si>
    <t>Care Coordinators</t>
  </si>
  <si>
    <t>General Practice Assistant</t>
  </si>
  <si>
    <t>Health and Wellbeing Coaches</t>
  </si>
  <si>
    <t>Pharmacy Technicians</t>
  </si>
  <si>
    <t>Social Prescribing Link Workers</t>
  </si>
  <si>
    <t>Trainee Nursing Associates</t>
  </si>
  <si>
    <t>ARRS Others (re PCN 24/25 section DES section 7.3.2.-A)</t>
  </si>
  <si>
    <t>Apprentices (excluding apprentice physician associate)</t>
  </si>
  <si>
    <t>Dispensers</t>
  </si>
  <si>
    <t>Health Support Workers</t>
  </si>
  <si>
    <t>Healthcare Assistants</t>
  </si>
  <si>
    <t>Phlebotomists</t>
  </si>
  <si>
    <t>Other Direct Patient Care Not ARRS Funded</t>
  </si>
  <si>
    <t>Consultant</t>
  </si>
  <si>
    <t>Non-Consultant Career Grades (excl Resident Drs)</t>
  </si>
  <si>
    <t>Resident Doctors (excluding Foundation)</t>
  </si>
  <si>
    <t>Foundation Trainees</t>
  </si>
  <si>
    <t>Registered nursing, midwifery and health visiting staff</t>
  </si>
  <si>
    <t>Allied Health Profess'nals (excl. Paramedics)</t>
  </si>
  <si>
    <t>Other S, T &amp; T</t>
  </si>
  <si>
    <t>Healthcare Scientists</t>
  </si>
  <si>
    <t>Support to Nursing</t>
  </si>
  <si>
    <t>Support to Allied Health Professionals</t>
  </si>
  <si>
    <t>Support to other S, T &amp; T</t>
  </si>
  <si>
    <t>Support to Health Care Scientists</t>
  </si>
  <si>
    <t xml:space="preserve">Total NHS infrastructure support </t>
  </si>
  <si>
    <t>Any other staff</t>
  </si>
  <si>
    <t>OT</t>
  </si>
  <si>
    <t>Social Worker</t>
  </si>
  <si>
    <t>Direct Care</t>
  </si>
  <si>
    <t>Other Social Care</t>
  </si>
  <si>
    <t>NA</t>
  </si>
  <si>
    <t>GP and PCN</t>
  </si>
  <si>
    <t>SFT</t>
  </si>
  <si>
    <t>Social Care</t>
  </si>
  <si>
    <t>VCSE</t>
  </si>
  <si>
    <t>Volunteers (Estimate)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</si>
</sst>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
  </numFmts>
  <fonts count="13" x14ac:knownFonts="1">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sz val="11"/>
      <name val="Aptos Narrow"/>
      <family val="2"/>
      <scheme val="minor"/>
    </font>
    <font>
      <sz val="11"/>
      <color rgb="FFE3E3E3"/>
      <name val="Aptos Narrow"/>
      <family val="2"/>
      <scheme val="minor"/>
    </font>
    <font>
      <b/>
      <sz val="11"/>
      <color rgb="FFE3E3E3"/>
      <name val="Aptos Narrow"/>
      <family val="2"/>
      <scheme val="minor"/>
    </font>
    <font>
      <b/>
      <sz val="9"/>
      <color indexed="81"/>
      <name val="Tahoma"/>
      <family val="2"/>
    </font>
    <font>
      <sz val="9"/>
      <color indexed="81"/>
      <name val="Tahoma"/>
      <family val="2"/>
    </font>
    <font>
      <b/>
      <sz val="11"/>
      <color theme="0" tint="-0.499984740745262"/>
      <name val="Aptos Narrow"/>
      <family val="2"/>
      <scheme val="minor"/>
    </font>
    <font>
      <sz val="11"/>
      <color theme="0" tint="-0.499984740745262"/>
      <name val="Aptos Narrow"/>
      <family val="2"/>
      <scheme val="minor"/>
    </font>
    <font>
      <b/>
      <sz val="11"/>
      <color theme="2" tint="-0.749992370372631"/>
      <name val="Aptos Narrow"/>
      <family val="2"/>
      <scheme val="minor"/>
    </font>
    <font>
      <sz val="11"/>
      <color theme="2" tint="-0.749992370372631"/>
      <name val="Aptos Narrow"/>
      <family val="2"/>
      <scheme val="minor"/>
    </font>
  </fonts>
  <fills count="17">
    <fill>
      <patternFill patternType="none"/>
    </fill>
    <fill>
      <patternFill patternType="gray125"/>
    </fill>
    <fill>
      <patternFill patternType="solid">
        <fgColor theme="0"/>
        <bgColor indexed="64"/>
      </patternFill>
    </fill>
    <fill>
      <patternFill patternType="solid">
        <fgColor rgb="FF293894"/>
        <bgColor indexed="64"/>
      </patternFill>
    </fill>
    <fill>
      <patternFill patternType="solid">
        <fgColor theme="3" tint="0.749992370372631"/>
        <bgColor indexed="64"/>
      </patternFill>
    </fill>
    <fill>
      <patternFill patternType="solid">
        <fgColor rgb="FF74C476"/>
        <bgColor indexed="64"/>
      </patternFill>
    </fill>
    <fill>
      <patternFill patternType="solid">
        <fgColor rgb="FFFFC000"/>
        <bgColor indexed="64"/>
      </patternFill>
    </fill>
    <fill>
      <patternFill patternType="solid">
        <fgColor rgb="FFC00000"/>
        <bgColor indexed="64"/>
      </patternFill>
    </fill>
    <fill>
      <patternFill patternType="solid">
        <fgColor theme="0" tint="-0.14999847407452621"/>
        <bgColor indexed="64"/>
      </patternFill>
    </fill>
    <fill>
      <patternFill patternType="solid">
        <fgColor theme="3" tint="0.749961851863155"/>
        <bgColor indexed="64"/>
      </patternFill>
    </fill>
    <fill>
      <patternFill patternType="solid">
        <fgColor theme="0" tint="-4.9989318521683403E-2"/>
        <bgColor indexed="64"/>
      </patternFill>
    </fill>
    <fill>
      <patternFill patternType="solid">
        <fgColor rgb="FF00ABBD"/>
        <bgColor indexed="64"/>
      </patternFill>
    </fill>
    <fill>
      <patternFill patternType="solid">
        <fgColor rgb="FFBAE2BB"/>
        <bgColor indexed="64"/>
      </patternFill>
    </fill>
    <fill>
      <patternFill patternType="solid">
        <fgColor rgb="FFCEE1F4"/>
        <bgColor indexed="64"/>
      </patternFill>
    </fill>
    <fill>
      <patternFill patternType="solid">
        <fgColor rgb="FFFFE799"/>
        <bgColor indexed="64"/>
      </patternFill>
    </fill>
    <fill>
      <patternFill patternType="solid">
        <fgColor rgb="FFFF9999"/>
        <bgColor indexed="64"/>
      </patternFill>
    </fill>
    <fill>
      <patternFill patternType="solid">
        <fgColor theme="0" tint="-0.14996795556505021"/>
        <bgColor indexed="64"/>
      </patternFill>
    </fill>
  </fills>
  <borders count="31">
    <border>
      <left/>
      <right/>
      <top/>
      <bottom/>
      <diagonal/>
    </border>
    <border>
      <left/>
      <right/>
      <top/>
      <bottom style="thin">
        <color rgb="FF293894"/>
      </bottom>
      <diagonal/>
    </border>
    <border>
      <left style="thin">
        <color rgb="FF00ABBD"/>
      </left>
      <right style="thin">
        <color rgb="FF00ABBD"/>
      </right>
      <top/>
      <bottom/>
      <diagonal/>
    </border>
    <border>
      <left/>
      <right/>
      <top/>
      <bottom style="double">
        <color rgb="FF00ABBD"/>
      </bottom>
      <diagonal/>
    </border>
    <border>
      <left style="thin">
        <color rgb="FF00ABBD"/>
      </left>
      <right style="thin">
        <color rgb="FF00ABBD"/>
      </right>
      <top/>
      <bottom style="double">
        <color rgb="FF00ABBD"/>
      </bottom>
      <diagonal/>
    </border>
    <border>
      <left style="thin">
        <color rgb="FF00ABBD"/>
      </left>
      <right/>
      <top/>
      <bottom/>
      <diagonal/>
    </border>
    <border>
      <left style="thin">
        <color rgb="FF00ABBD"/>
      </left>
      <right/>
      <top/>
      <bottom style="double">
        <color rgb="FF00ABBD"/>
      </bottom>
      <diagonal/>
    </border>
    <border>
      <left/>
      <right/>
      <top/>
      <bottom style="thin">
        <color rgb="FF0070C0"/>
      </bottom>
      <diagonal/>
    </border>
    <border>
      <left style="thin">
        <color rgb="FF0070C0"/>
      </left>
      <right/>
      <top/>
      <bottom style="thin">
        <color rgb="FF0070C0"/>
      </bottom>
      <diagonal/>
    </border>
    <border>
      <left style="thin">
        <color rgb="FF0070C0"/>
      </left>
      <right/>
      <top/>
      <bottom/>
      <diagonal/>
    </border>
    <border>
      <left/>
      <right style="thin">
        <color rgb="FF0070C0"/>
      </right>
      <top/>
      <bottom/>
      <diagonal/>
    </border>
    <border>
      <left/>
      <right style="thin">
        <color rgb="FF0070C0"/>
      </right>
      <top/>
      <bottom style="thin">
        <color rgb="FF0070C0"/>
      </bottom>
      <diagonal/>
    </border>
    <border>
      <left/>
      <right/>
      <top style="thin">
        <color rgb="FF0070C0"/>
      </top>
      <bottom/>
      <diagonal/>
    </border>
    <border>
      <left style="thin">
        <color rgb="FF0070C0"/>
      </left>
      <right/>
      <top style="thin">
        <color rgb="FF0070C0"/>
      </top>
      <bottom/>
      <diagonal/>
    </border>
    <border>
      <left/>
      <right style="thin">
        <color rgb="FF0070C0"/>
      </right>
      <top style="thin">
        <color rgb="FF0070C0"/>
      </top>
      <bottom/>
      <diagonal/>
    </border>
    <border>
      <left style="thin">
        <color rgb="FF293894"/>
      </left>
      <right/>
      <top/>
      <bottom/>
      <diagonal/>
    </border>
    <border>
      <left style="thin">
        <color rgb="FF293894"/>
      </left>
      <right/>
      <top/>
      <bottom style="thin">
        <color rgb="FF293894"/>
      </bottom>
      <diagonal/>
    </border>
    <border>
      <left/>
      <right/>
      <top style="thin">
        <color rgb="FF293894"/>
      </top>
      <bottom/>
      <diagonal/>
    </border>
    <border>
      <left style="thin">
        <color rgb="FF293894"/>
      </left>
      <right/>
      <top style="thin">
        <color rgb="FF293894"/>
      </top>
      <bottom/>
      <diagonal/>
    </border>
    <border>
      <left style="thin">
        <color theme="0" tint="-0.24994659260841701"/>
      </left>
      <right/>
      <top/>
      <bottom/>
      <diagonal/>
    </border>
    <border>
      <left/>
      <right/>
      <top/>
      <bottom style="thin">
        <color theme="0" tint="-0.24994659260841701"/>
      </bottom>
      <diagonal/>
    </border>
    <border>
      <left style="thin">
        <color theme="0" tint="-0.24994659260841701"/>
      </left>
      <right/>
      <top/>
      <bottom style="thin">
        <color theme="0" tint="-0.24994659260841701"/>
      </bottom>
      <diagonal/>
    </border>
    <border>
      <left/>
      <right/>
      <top style="thin">
        <color theme="0" tint="-0.24994659260841701"/>
      </top>
      <bottom/>
      <diagonal/>
    </border>
    <border>
      <left style="thin">
        <color theme="0" tint="-0.24994659260841701"/>
      </left>
      <right/>
      <top style="thin">
        <color theme="0" tint="-0.24994659260841701"/>
      </top>
      <bottom/>
      <diagonal/>
    </border>
    <border>
      <left/>
      <right style="thin">
        <color rgb="FF293894"/>
      </right>
      <top style="thin">
        <color rgb="FF293894"/>
      </top>
      <bottom/>
      <diagonal/>
    </border>
    <border>
      <left/>
      <right style="thin">
        <color rgb="FF293894"/>
      </right>
      <top/>
      <bottom/>
      <diagonal/>
    </border>
    <border>
      <left style="thin">
        <color rgb="FF0070C0"/>
      </left>
      <right style="thin">
        <color rgb="FF0070C0"/>
      </right>
      <top/>
      <bottom style="thin">
        <color rgb="FF0070C0"/>
      </bottom>
      <diagonal/>
    </border>
    <border>
      <left/>
      <right/>
      <top style="thin">
        <color rgb="FF0070C0"/>
      </top>
      <bottom style="thin">
        <color rgb="FF0070C0"/>
      </bottom>
      <diagonal/>
    </border>
    <border>
      <left/>
      <right/>
      <top style="thin">
        <color auto="1"/>
      </top>
      <bottom/>
      <diagonal/>
    </border>
    <border>
      <left style="thin">
        <color rgb="FF0070C0"/>
      </left>
      <right/>
      <top style="thin">
        <color auto="1"/>
      </top>
      <bottom/>
      <diagonal/>
    </border>
    <border>
      <left style="thin">
        <color rgb="FF0070C0"/>
      </left>
      <right/>
      <top style="thin">
        <color rgb="FF0070C0"/>
      </top>
      <bottom style="thin">
        <color rgb="FF0070C0"/>
      </bottom>
      <diagonal/>
    </border>
  </borders>
  <cellStyleXfs count="2">
    <xf numFmtId="0" fontId="0" fillId="0" borderId="0"/>
    <xf numFmtId="9" fontId="1" fillId="0" borderId="0" applyFont="0" applyFill="0" applyBorder="0" applyAlignment="0" applyProtection="0"/>
  </cellStyleXfs>
  <cellXfs count="213">
    <xf numFmtId="0" fontId="0" fillId="0" borderId="0" xfId="0"/>
    <xf numFmtId="0" fontId="3" fillId="2" borderId="0" xfId="0" applyFont="1" applyFill="1"/>
    <xf numFmtId="0" fontId="0" fillId="2" borderId="0" xfId="0" applyFill="1"/>
    <xf numFmtId="0" fontId="0" fillId="2" borderId="2" xfId="0" applyFill="1" applyBorder="1"/>
    <xf numFmtId="0" fontId="2" fillId="3" borderId="3" xfId="0" applyFont="1" applyFill="1" applyBorder="1"/>
    <xf numFmtId="0" fontId="0" fillId="2" borderId="5" xfId="0" applyFill="1" applyBorder="1"/>
    <xf numFmtId="0" fontId="2" fillId="3" borderId="4" xfId="0" applyFont="1" applyFill="1" applyBorder="1" applyAlignment="1">
      <alignment horizontal="right"/>
    </xf>
    <xf numFmtId="0" fontId="2" fillId="3" borderId="6" xfId="0" applyFont="1" applyFill="1" applyBorder="1" applyAlignment="1">
      <alignment horizontal="right"/>
    </xf>
    <xf numFmtId="0" fontId="4" fillId="2" borderId="0" xfId="0" applyFont="1" applyFill="1"/>
    <xf numFmtId="0" fontId="3" fillId="4" borderId="7" xfId="0" applyFont="1" applyFill="1" applyBorder="1"/>
    <xf numFmtId="0" fontId="3" fillId="4" borderId="8" xfId="0" applyFont="1" applyFill="1" applyBorder="1"/>
    <xf numFmtId="0" fontId="0" fillId="2" borderId="9" xfId="0" applyFill="1" applyBorder="1"/>
    <xf numFmtId="0" fontId="0" fillId="5" borderId="0" xfId="0" applyFill="1"/>
    <xf numFmtId="0" fontId="0" fillId="2" borderId="10" xfId="0" applyFill="1" applyBorder="1"/>
    <xf numFmtId="164" fontId="0" fillId="2" borderId="9" xfId="0" applyNumberFormat="1" applyFill="1" applyBorder="1"/>
    <xf numFmtId="164" fontId="0" fillId="2" borderId="10" xfId="0" applyNumberFormat="1" applyFill="1" applyBorder="1"/>
    <xf numFmtId="164" fontId="0" fillId="2" borderId="0" xfId="0" applyNumberFormat="1" applyFill="1"/>
    <xf numFmtId="0" fontId="0" fillId="6" borderId="0" xfId="0" applyFill="1"/>
    <xf numFmtId="0" fontId="0" fillId="4" borderId="0" xfId="0" applyFill="1"/>
    <xf numFmtId="0" fontId="5" fillId="7" borderId="7" xfId="0" applyFont="1" applyFill="1" applyBorder="1"/>
    <xf numFmtId="0" fontId="0" fillId="2" borderId="8" xfId="0" applyFill="1" applyBorder="1"/>
    <xf numFmtId="0" fontId="0" fillId="2" borderId="7" xfId="0" applyFill="1" applyBorder="1"/>
    <xf numFmtId="0" fontId="0" fillId="2" borderId="11" xfId="0" applyFill="1" applyBorder="1"/>
    <xf numFmtId="164" fontId="0" fillId="2" borderId="8" xfId="0" applyNumberFormat="1" applyFill="1" applyBorder="1"/>
    <xf numFmtId="164" fontId="0" fillId="2" borderId="11" xfId="0" applyNumberFormat="1" applyFill="1" applyBorder="1"/>
    <xf numFmtId="164" fontId="0" fillId="2" borderId="7" xfId="0" applyNumberFormat="1" applyFill="1" applyBorder="1"/>
    <xf numFmtId="0" fontId="0" fillId="8" borderId="9" xfId="0" applyFill="1" applyBorder="1"/>
    <xf numFmtId="0" fontId="0" fillId="8" borderId="10" xfId="0" applyFill="1" applyBorder="1"/>
    <xf numFmtId="0" fontId="3" fillId="4" borderId="8" xfId="0" applyFont="1" applyFill="1" applyBorder="1" applyAlignment="1">
      <alignment horizontal="right"/>
    </xf>
    <xf numFmtId="0" fontId="3" fillId="4" borderId="11" xfId="0" applyFont="1" applyFill="1" applyBorder="1" applyAlignment="1">
      <alignment horizontal="right"/>
    </xf>
    <xf numFmtId="0" fontId="3" fillId="5" borderId="0" xfId="0" applyFont="1" applyFill="1"/>
    <xf numFmtId="0" fontId="3" fillId="6" borderId="0" xfId="0" applyFont="1" applyFill="1"/>
    <xf numFmtId="0" fontId="3" fillId="4" borderId="0" xfId="0" applyFont="1" applyFill="1"/>
    <xf numFmtId="0" fontId="6" fillId="7" borderId="7" xfId="0" applyFont="1" applyFill="1" applyBorder="1"/>
    <xf numFmtId="0" fontId="0" fillId="2" borderId="2" xfId="0" applyFill="1" applyBorder="1" applyAlignment="1">
      <alignment horizontal="right"/>
    </xf>
    <xf numFmtId="0" fontId="0" fillId="2" borderId="0" xfId="0" applyFill="1" applyAlignment="1">
      <alignment horizontal="right"/>
    </xf>
    <xf numFmtId="0" fontId="3" fillId="8" borderId="7" xfId="0" applyFont="1" applyFill="1" applyBorder="1"/>
    <xf numFmtId="0" fontId="3" fillId="8" borderId="8" xfId="0" applyFont="1" applyFill="1" applyBorder="1"/>
    <xf numFmtId="0" fontId="3" fillId="8" borderId="11" xfId="0" applyFont="1" applyFill="1" applyBorder="1"/>
    <xf numFmtId="0" fontId="3" fillId="9" borderId="7" xfId="0" applyFont="1" applyFill="1" applyBorder="1"/>
    <xf numFmtId="10" fontId="0" fillId="2" borderId="9" xfId="1" applyNumberFormat="1" applyFont="1" applyFill="1" applyBorder="1"/>
    <xf numFmtId="10" fontId="0" fillId="2" borderId="0" xfId="1" applyNumberFormat="1" applyFont="1" applyFill="1" applyBorder="1"/>
    <xf numFmtId="10" fontId="0" fillId="2" borderId="10" xfId="1" applyNumberFormat="1" applyFont="1" applyFill="1" applyBorder="1"/>
    <xf numFmtId="10" fontId="1" fillId="8" borderId="0" xfId="1" applyNumberFormat="1" applyFont="1" applyFill="1" applyBorder="1"/>
    <xf numFmtId="0" fontId="3" fillId="8" borderId="12" xfId="0" applyFont="1" applyFill="1" applyBorder="1"/>
    <xf numFmtId="10" fontId="1" fillId="8" borderId="13" xfId="1" applyNumberFormat="1" applyFont="1" applyFill="1" applyBorder="1"/>
    <xf numFmtId="10" fontId="1" fillId="8" borderId="12" xfId="1" applyNumberFormat="1" applyFont="1" applyFill="1" applyBorder="1"/>
    <xf numFmtId="10" fontId="1" fillId="8" borderId="14" xfId="1" applyNumberFormat="1" applyFont="1" applyFill="1" applyBorder="1"/>
    <xf numFmtId="2" fontId="3" fillId="9" borderId="8" xfId="0" applyNumberFormat="1" applyFont="1" applyFill="1" applyBorder="1" applyAlignment="1">
      <alignment horizontal="right"/>
    </xf>
    <xf numFmtId="2" fontId="3" fillId="9" borderId="7" xfId="0" applyNumberFormat="1" applyFont="1" applyFill="1" applyBorder="1" applyAlignment="1">
      <alignment horizontal="right"/>
    </xf>
    <xf numFmtId="2" fontId="3" fillId="9" borderId="11" xfId="0" applyNumberFormat="1" applyFont="1" applyFill="1" applyBorder="1" applyAlignment="1">
      <alignment horizontal="right"/>
    </xf>
    <xf numFmtId="164" fontId="0" fillId="2" borderId="9" xfId="1" applyNumberFormat="1" applyFont="1" applyFill="1" applyBorder="1" applyAlignment="1"/>
    <xf numFmtId="164" fontId="0" fillId="2" borderId="0" xfId="1" applyNumberFormat="1" applyFont="1" applyFill="1" applyBorder="1" applyAlignment="1"/>
    <xf numFmtId="164" fontId="0" fillId="2" borderId="10" xfId="1" applyNumberFormat="1" applyFont="1" applyFill="1" applyBorder="1" applyAlignment="1"/>
    <xf numFmtId="164" fontId="1" fillId="8" borderId="0" xfId="1" applyNumberFormat="1" applyFont="1" applyFill="1" applyBorder="1" applyAlignment="1"/>
    <xf numFmtId="164" fontId="1" fillId="8" borderId="13" xfId="1" applyNumberFormat="1" applyFont="1" applyFill="1" applyBorder="1" applyAlignment="1"/>
    <xf numFmtId="164" fontId="1" fillId="8" borderId="12" xfId="1" applyNumberFormat="1" applyFont="1" applyFill="1" applyBorder="1" applyAlignment="1"/>
    <xf numFmtId="164" fontId="1" fillId="8" borderId="14" xfId="1" applyNumberFormat="1" applyFont="1" applyFill="1" applyBorder="1" applyAlignment="1"/>
    <xf numFmtId="164" fontId="0" fillId="2" borderId="9" xfId="1" applyNumberFormat="1" applyFont="1" applyFill="1" applyBorder="1"/>
    <xf numFmtId="164" fontId="0" fillId="2" borderId="0" xfId="1" applyNumberFormat="1" applyFont="1" applyFill="1" applyBorder="1"/>
    <xf numFmtId="164" fontId="0" fillId="2" borderId="10" xfId="1" applyNumberFormat="1" applyFont="1" applyFill="1" applyBorder="1"/>
    <xf numFmtId="164" fontId="1" fillId="8" borderId="0" xfId="1" applyNumberFormat="1" applyFont="1" applyFill="1" applyBorder="1"/>
    <xf numFmtId="164" fontId="1" fillId="8" borderId="13" xfId="1" applyNumberFormat="1" applyFont="1" applyFill="1" applyBorder="1"/>
    <xf numFmtId="164" fontId="1" fillId="8" borderId="12" xfId="1" applyNumberFormat="1" applyFont="1" applyFill="1" applyBorder="1"/>
    <xf numFmtId="164" fontId="1" fillId="8" borderId="14" xfId="1" applyNumberFormat="1" applyFont="1" applyFill="1" applyBorder="1"/>
    <xf numFmtId="164" fontId="0" fillId="2" borderId="13" xfId="1" applyNumberFormat="1" applyFont="1" applyFill="1" applyBorder="1"/>
    <xf numFmtId="164" fontId="0" fillId="2" borderId="12" xfId="1" applyNumberFormat="1" applyFont="1" applyFill="1" applyBorder="1"/>
    <xf numFmtId="164" fontId="0" fillId="2" borderId="8" xfId="1" applyNumberFormat="1" applyFont="1" applyFill="1" applyBorder="1"/>
    <xf numFmtId="164" fontId="0" fillId="2" borderId="7" xfId="1" applyNumberFormat="1" applyFont="1" applyFill="1" applyBorder="1"/>
    <xf numFmtId="0" fontId="3" fillId="10" borderId="12" xfId="0" applyFont="1" applyFill="1" applyBorder="1"/>
    <xf numFmtId="164" fontId="1" fillId="10" borderId="13" xfId="1" applyNumberFormat="1" applyFont="1" applyFill="1" applyBorder="1"/>
    <xf numFmtId="164" fontId="1" fillId="10" borderId="12" xfId="1" applyNumberFormat="1" applyFont="1" applyFill="1" applyBorder="1"/>
    <xf numFmtId="0" fontId="0" fillId="2" borderId="13" xfId="1" applyNumberFormat="1" applyFont="1" applyFill="1" applyBorder="1"/>
    <xf numFmtId="0" fontId="0" fillId="2" borderId="12" xfId="1" applyNumberFormat="1" applyFont="1" applyFill="1" applyBorder="1"/>
    <xf numFmtId="0" fontId="0" fillId="2" borderId="9" xfId="1" applyNumberFormat="1" applyFont="1" applyFill="1" applyBorder="1"/>
    <xf numFmtId="0" fontId="0" fillId="2" borderId="0" xfId="1" applyNumberFormat="1" applyFont="1" applyFill="1" applyBorder="1"/>
    <xf numFmtId="0" fontId="1" fillId="10" borderId="13" xfId="1" applyNumberFormat="1" applyFont="1" applyFill="1" applyBorder="1"/>
    <xf numFmtId="0" fontId="1" fillId="10" borderId="12" xfId="1" applyNumberFormat="1" applyFont="1" applyFill="1" applyBorder="1"/>
    <xf numFmtId="164" fontId="0" fillId="8" borderId="0" xfId="1" applyNumberFormat="1" applyFont="1" applyFill="1" applyBorder="1"/>
    <xf numFmtId="2" fontId="2" fillId="3" borderId="8" xfId="0" applyNumberFormat="1" applyFont="1" applyFill="1" applyBorder="1" applyAlignment="1">
      <alignment horizontal="right"/>
    </xf>
    <xf numFmtId="2" fontId="2" fillId="3" borderId="7" xfId="0" applyNumberFormat="1" applyFont="1" applyFill="1" applyBorder="1" applyAlignment="1">
      <alignment horizontal="right"/>
    </xf>
    <xf numFmtId="2" fontId="2" fillId="3" borderId="11" xfId="0" applyNumberFormat="1" applyFont="1" applyFill="1" applyBorder="1" applyAlignment="1">
      <alignment horizontal="right"/>
    </xf>
    <xf numFmtId="0" fontId="2" fillId="3" borderId="7" xfId="0" applyFont="1" applyFill="1" applyBorder="1"/>
    <xf numFmtId="0" fontId="3" fillId="5" borderId="1" xfId="0" applyFont="1" applyFill="1" applyBorder="1"/>
    <xf numFmtId="0" fontId="3" fillId="5" borderId="1" xfId="0" applyFont="1" applyFill="1" applyBorder="1" applyAlignment="1">
      <alignment horizontal="right"/>
    </xf>
    <xf numFmtId="0" fontId="3" fillId="5" borderId="16" xfId="0" applyFont="1" applyFill="1" applyBorder="1" applyAlignment="1">
      <alignment horizontal="right"/>
    </xf>
    <xf numFmtId="164" fontId="0" fillId="2" borderId="15" xfId="1" applyNumberFormat="1" applyFont="1" applyFill="1" applyBorder="1"/>
    <xf numFmtId="0" fontId="3" fillId="5" borderId="16" xfId="0" applyFont="1" applyFill="1" applyBorder="1"/>
    <xf numFmtId="164" fontId="0" fillId="8" borderId="15" xfId="1" applyNumberFormat="1" applyFont="1" applyFill="1" applyBorder="1"/>
    <xf numFmtId="0" fontId="3" fillId="6" borderId="1" xfId="0" applyFont="1" applyFill="1" applyBorder="1"/>
    <xf numFmtId="0" fontId="3" fillId="6" borderId="16" xfId="0" applyFont="1" applyFill="1" applyBorder="1" applyAlignment="1">
      <alignment horizontal="right"/>
    </xf>
    <xf numFmtId="0" fontId="3" fillId="6" borderId="1" xfId="0" applyFont="1" applyFill="1" applyBorder="1" applyAlignment="1">
      <alignment horizontal="right"/>
    </xf>
    <xf numFmtId="0" fontId="3" fillId="10" borderId="17" xfId="0" applyFont="1" applyFill="1" applyBorder="1"/>
    <xf numFmtId="164" fontId="1" fillId="10" borderId="18" xfId="1" applyNumberFormat="1" applyFont="1" applyFill="1" applyBorder="1"/>
    <xf numFmtId="164" fontId="1" fillId="10" borderId="17" xfId="1" applyNumberFormat="1" applyFont="1" applyFill="1" applyBorder="1"/>
    <xf numFmtId="0" fontId="3" fillId="6" borderId="16" xfId="0" applyFont="1" applyFill="1" applyBorder="1"/>
    <xf numFmtId="0" fontId="6" fillId="7" borderId="1" xfId="0" applyFont="1" applyFill="1" applyBorder="1"/>
    <xf numFmtId="0" fontId="6" fillId="7" borderId="16" xfId="0" applyFont="1" applyFill="1" applyBorder="1" applyAlignment="1">
      <alignment horizontal="right"/>
    </xf>
    <xf numFmtId="0" fontId="6" fillId="7" borderId="1" xfId="0" applyFont="1" applyFill="1" applyBorder="1" applyAlignment="1">
      <alignment horizontal="right"/>
    </xf>
    <xf numFmtId="0" fontId="6" fillId="7" borderId="16" xfId="0" applyFont="1" applyFill="1" applyBorder="1"/>
    <xf numFmtId="0" fontId="3" fillId="4" borderId="1" xfId="0" applyFont="1" applyFill="1" applyBorder="1"/>
    <xf numFmtId="2" fontId="3" fillId="9" borderId="16" xfId="0" applyNumberFormat="1" applyFont="1" applyFill="1" applyBorder="1" applyAlignment="1">
      <alignment horizontal="right"/>
    </xf>
    <xf numFmtId="2" fontId="3" fillId="9" borderId="1" xfId="0" applyNumberFormat="1" applyFont="1" applyFill="1" applyBorder="1" applyAlignment="1">
      <alignment horizontal="right"/>
    </xf>
    <xf numFmtId="0" fontId="3" fillId="4" borderId="16" xfId="0" applyFont="1" applyFill="1" applyBorder="1"/>
    <xf numFmtId="0" fontId="0" fillId="2" borderId="17" xfId="0" applyFill="1" applyBorder="1"/>
    <xf numFmtId="164" fontId="1" fillId="2" borderId="0" xfId="1" applyNumberFormat="1" applyFont="1" applyFill="1" applyBorder="1"/>
    <xf numFmtId="0" fontId="10" fillId="2" borderId="0" xfId="0" applyFont="1" applyFill="1"/>
    <xf numFmtId="164" fontId="10" fillId="2" borderId="0" xfId="1" applyNumberFormat="1" applyFont="1" applyFill="1" applyBorder="1"/>
    <xf numFmtId="164" fontId="10" fillId="2" borderId="19" xfId="1" applyNumberFormat="1" applyFont="1" applyFill="1" applyBorder="1"/>
    <xf numFmtId="164" fontId="10" fillId="8" borderId="19" xfId="1" applyNumberFormat="1" applyFont="1" applyFill="1" applyBorder="1"/>
    <xf numFmtId="0" fontId="9" fillId="10" borderId="20" xfId="0" applyFont="1" applyFill="1" applyBorder="1"/>
    <xf numFmtId="2" fontId="9" fillId="10" borderId="21" xfId="0" applyNumberFormat="1" applyFont="1" applyFill="1" applyBorder="1" applyAlignment="1">
      <alignment horizontal="right"/>
    </xf>
    <xf numFmtId="2" fontId="9" fillId="10" borderId="20" xfId="0" applyNumberFormat="1" applyFont="1" applyFill="1" applyBorder="1" applyAlignment="1">
      <alignment horizontal="right"/>
    </xf>
    <xf numFmtId="0" fontId="9" fillId="10" borderId="21" xfId="0" applyFont="1" applyFill="1" applyBorder="1"/>
    <xf numFmtId="0" fontId="9" fillId="10" borderId="22" xfId="0" applyFont="1" applyFill="1" applyBorder="1"/>
    <xf numFmtId="164" fontId="10" fillId="10" borderId="23" xfId="1" applyNumberFormat="1" applyFont="1" applyFill="1" applyBorder="1"/>
    <xf numFmtId="164" fontId="10" fillId="10" borderId="22" xfId="1" applyNumberFormat="1" applyFont="1" applyFill="1" applyBorder="1"/>
    <xf numFmtId="3" fontId="1" fillId="10" borderId="13" xfId="1" applyNumberFormat="1" applyFont="1" applyFill="1" applyBorder="1"/>
    <xf numFmtId="3" fontId="1" fillId="10" borderId="12" xfId="1" applyNumberFormat="1" applyFont="1" applyFill="1" applyBorder="1"/>
    <xf numFmtId="3" fontId="0" fillId="2" borderId="13" xfId="1" applyNumberFormat="1" applyFont="1" applyFill="1" applyBorder="1"/>
    <xf numFmtId="3" fontId="0" fillId="2" borderId="9" xfId="1" applyNumberFormat="1" applyFont="1" applyFill="1" applyBorder="1"/>
    <xf numFmtId="3" fontId="0" fillId="2" borderId="8" xfId="1" applyNumberFormat="1" applyFont="1" applyFill="1" applyBorder="1"/>
    <xf numFmtId="3" fontId="0" fillId="2" borderId="12" xfId="1" applyNumberFormat="1" applyFont="1" applyFill="1" applyBorder="1"/>
    <xf numFmtId="3" fontId="0" fillId="2" borderId="0" xfId="1" applyNumberFormat="1" applyFont="1" applyFill="1" applyBorder="1"/>
    <xf numFmtId="3" fontId="0" fillId="2" borderId="7" xfId="1" applyNumberFormat="1" applyFont="1" applyFill="1" applyBorder="1"/>
    <xf numFmtId="3" fontId="1" fillId="10" borderId="18" xfId="1" applyNumberFormat="1" applyFont="1" applyFill="1" applyBorder="1"/>
    <xf numFmtId="3" fontId="1" fillId="10" borderId="17" xfId="1" applyNumberFormat="1" applyFont="1" applyFill="1" applyBorder="1"/>
    <xf numFmtId="3" fontId="0" fillId="2" borderId="15" xfId="1" applyNumberFormat="1" applyFont="1" applyFill="1" applyBorder="1"/>
    <xf numFmtId="3" fontId="10" fillId="10" borderId="23" xfId="1" applyNumberFormat="1" applyFont="1" applyFill="1" applyBorder="1"/>
    <xf numFmtId="3" fontId="10" fillId="10" borderId="22" xfId="1" applyNumberFormat="1" applyFont="1" applyFill="1" applyBorder="1"/>
    <xf numFmtId="3" fontId="10" fillId="10" borderId="19" xfId="1" applyNumberFormat="1" applyFont="1" applyFill="1" applyBorder="1"/>
    <xf numFmtId="0" fontId="10" fillId="10" borderId="0" xfId="0" applyFont="1" applyFill="1"/>
    <xf numFmtId="3" fontId="10" fillId="10" borderId="0" xfId="1" applyNumberFormat="1" applyFont="1" applyFill="1" applyBorder="1"/>
    <xf numFmtId="4" fontId="0" fillId="2" borderId="15" xfId="1" applyNumberFormat="1" applyFont="1" applyFill="1" applyBorder="1"/>
    <xf numFmtId="4" fontId="0" fillId="2" borderId="0" xfId="1" applyNumberFormat="1" applyFont="1" applyFill="1" applyBorder="1"/>
    <xf numFmtId="4" fontId="3" fillId="12" borderId="18" xfId="1" applyNumberFormat="1" applyFont="1" applyFill="1" applyBorder="1"/>
    <xf numFmtId="4" fontId="3" fillId="12" borderId="17" xfId="1" applyNumberFormat="1" applyFont="1" applyFill="1" applyBorder="1"/>
    <xf numFmtId="4" fontId="3" fillId="12" borderId="15" xfId="1" applyNumberFormat="1" applyFont="1" applyFill="1" applyBorder="1"/>
    <xf numFmtId="0" fontId="3" fillId="12" borderId="24" xfId="0" applyFont="1" applyFill="1" applyBorder="1"/>
    <xf numFmtId="0" fontId="3" fillId="13" borderId="17" xfId="0" applyFont="1" applyFill="1" applyBorder="1"/>
    <xf numFmtId="4" fontId="3" fillId="13" borderId="18" xfId="1" applyNumberFormat="1" applyFont="1" applyFill="1" applyBorder="1"/>
    <xf numFmtId="4" fontId="3" fillId="13" borderId="17" xfId="1" applyNumberFormat="1" applyFont="1" applyFill="1" applyBorder="1"/>
    <xf numFmtId="4" fontId="3" fillId="13" borderId="15" xfId="1" applyNumberFormat="1" applyFont="1" applyFill="1" applyBorder="1"/>
    <xf numFmtId="4" fontId="3" fillId="14" borderId="15" xfId="1" applyNumberFormat="1" applyFont="1" applyFill="1" applyBorder="1"/>
    <xf numFmtId="4" fontId="3" fillId="14" borderId="18" xfId="1" applyNumberFormat="1" applyFont="1" applyFill="1" applyBorder="1"/>
    <xf numFmtId="0" fontId="3" fillId="14" borderId="17" xfId="0" applyFont="1" applyFill="1" applyBorder="1"/>
    <xf numFmtId="4" fontId="3" fillId="14" borderId="17" xfId="1" applyNumberFormat="1" applyFont="1" applyFill="1" applyBorder="1"/>
    <xf numFmtId="0" fontId="3" fillId="15" borderId="17" xfId="0" applyFont="1" applyFill="1" applyBorder="1"/>
    <xf numFmtId="4" fontId="3" fillId="15" borderId="18" xfId="1" applyNumberFormat="1" applyFont="1" applyFill="1" applyBorder="1"/>
    <xf numFmtId="4" fontId="3" fillId="15" borderId="17" xfId="1" applyNumberFormat="1" applyFont="1" applyFill="1" applyBorder="1"/>
    <xf numFmtId="4" fontId="3" fillId="15" borderId="15" xfId="1" applyNumberFormat="1" applyFont="1" applyFill="1" applyBorder="1"/>
    <xf numFmtId="3" fontId="3" fillId="12" borderId="15" xfId="1" applyNumberFormat="1" applyFont="1" applyFill="1" applyBorder="1"/>
    <xf numFmtId="3" fontId="3" fillId="12" borderId="18" xfId="1" applyNumberFormat="1" applyFont="1" applyFill="1" applyBorder="1"/>
    <xf numFmtId="3" fontId="3" fillId="12" borderId="17" xfId="1" applyNumberFormat="1" applyFont="1" applyFill="1" applyBorder="1"/>
    <xf numFmtId="3" fontId="3" fillId="14" borderId="15" xfId="1" applyNumberFormat="1" applyFont="1" applyFill="1" applyBorder="1"/>
    <xf numFmtId="3" fontId="3" fillId="14" borderId="18" xfId="1" applyNumberFormat="1" applyFont="1" applyFill="1" applyBorder="1"/>
    <xf numFmtId="3" fontId="3" fillId="14" borderId="17" xfId="1" applyNumberFormat="1" applyFont="1" applyFill="1" applyBorder="1"/>
    <xf numFmtId="3" fontId="3" fillId="13" borderId="15" xfId="1" applyNumberFormat="1" applyFont="1" applyFill="1" applyBorder="1"/>
    <xf numFmtId="3" fontId="3" fillId="13" borderId="18" xfId="1" applyNumberFormat="1" applyFont="1" applyFill="1" applyBorder="1"/>
    <xf numFmtId="3" fontId="3" fillId="13" borderId="17" xfId="1" applyNumberFormat="1" applyFont="1" applyFill="1" applyBorder="1"/>
    <xf numFmtId="3" fontId="3" fillId="15" borderId="15" xfId="1" applyNumberFormat="1" applyFont="1" applyFill="1" applyBorder="1"/>
    <xf numFmtId="3" fontId="3" fillId="15" borderId="18" xfId="1" applyNumberFormat="1" applyFont="1" applyFill="1" applyBorder="1"/>
    <xf numFmtId="3" fontId="3" fillId="15" borderId="17" xfId="1" applyNumberFormat="1" applyFont="1" applyFill="1" applyBorder="1"/>
    <xf numFmtId="0" fontId="11" fillId="10" borderId="20" xfId="0" applyFont="1" applyFill="1" applyBorder="1"/>
    <xf numFmtId="2" fontId="11" fillId="10" borderId="21" xfId="0" applyNumberFormat="1" applyFont="1" applyFill="1" applyBorder="1" applyAlignment="1">
      <alignment horizontal="right"/>
    </xf>
    <xf numFmtId="2" fontId="11" fillId="10" borderId="20" xfId="0" applyNumberFormat="1" applyFont="1" applyFill="1" applyBorder="1" applyAlignment="1">
      <alignment horizontal="right"/>
    </xf>
    <xf numFmtId="0" fontId="11" fillId="10" borderId="21" xfId="0" applyFont="1" applyFill="1" applyBorder="1"/>
    <xf numFmtId="0" fontId="12" fillId="10" borderId="0" xfId="0" applyFont="1" applyFill="1"/>
    <xf numFmtId="3" fontId="12" fillId="10" borderId="19" xfId="1" applyNumberFormat="1" applyFont="1" applyFill="1" applyBorder="1"/>
    <xf numFmtId="3" fontId="12" fillId="10" borderId="0" xfId="1" applyNumberFormat="1" applyFont="1" applyFill="1" applyBorder="1"/>
    <xf numFmtId="0" fontId="11" fillId="10" borderId="22" xfId="0" applyFont="1" applyFill="1" applyBorder="1"/>
    <xf numFmtId="3" fontId="11" fillId="10" borderId="23" xfId="1" applyNumberFormat="1" applyFont="1" applyFill="1" applyBorder="1"/>
    <xf numFmtId="3" fontId="11" fillId="10" borderId="22" xfId="1" applyNumberFormat="1" applyFont="1" applyFill="1" applyBorder="1"/>
    <xf numFmtId="3" fontId="11" fillId="10" borderId="19" xfId="1" applyNumberFormat="1" applyFont="1" applyFill="1" applyBorder="1"/>
    <xf numFmtId="4" fontId="12" fillId="10" borderId="19" xfId="1" applyNumberFormat="1" applyFont="1" applyFill="1" applyBorder="1"/>
    <xf numFmtId="4" fontId="12" fillId="10" borderId="0" xfId="1" applyNumberFormat="1" applyFont="1" applyFill="1" applyBorder="1"/>
    <xf numFmtId="4" fontId="11" fillId="10" borderId="19" xfId="1" applyNumberFormat="1" applyFont="1" applyFill="1" applyBorder="1"/>
    <xf numFmtId="4" fontId="11" fillId="10" borderId="23" xfId="1" applyNumberFormat="1" applyFont="1" applyFill="1" applyBorder="1"/>
    <xf numFmtId="4" fontId="11" fillId="10" borderId="22" xfId="1" applyNumberFormat="1" applyFont="1" applyFill="1" applyBorder="1"/>
    <xf numFmtId="166" fontId="0" fillId="2" borderId="0" xfId="0" applyNumberFormat="1" applyFill="1"/>
    <xf numFmtId="10" fontId="0" fillId="2" borderId="0" xfId="0" applyNumberFormat="1" applyFill="1"/>
    <xf numFmtId="0" fontId="2" fillId="3" borderId="4" xfId="0" applyFont="1" applyFill="1" applyBorder="1" applyAlignment="1">
      <alignment horizontal="left"/>
    </xf>
    <xf numFmtId="0" fontId="2" fillId="3" borderId="3" xfId="0" applyFont="1" applyFill="1" applyBorder="1" applyAlignment="1">
      <alignment horizontal="left"/>
    </xf>
    <xf numFmtId="0" fontId="3" fillId="4" borderId="9" xfId="0" applyFont="1" applyFill="1" applyBorder="1" applyAlignment="1">
      <alignment horizontal="center"/>
    </xf>
    <xf numFmtId="0" fontId="3" fillId="4" borderId="0" xfId="0" applyFont="1" applyFill="1" applyAlignment="1">
      <alignment horizontal="center"/>
    </xf>
    <xf numFmtId="0" fontId="3" fillId="4" borderId="10" xfId="0" applyFont="1" applyFill="1" applyBorder="1" applyAlignment="1">
      <alignment horizontal="center"/>
    </xf>
    <xf numFmtId="0" fontId="3" fillId="8" borderId="0" xfId="0" applyFont="1" applyFill="1" applyAlignment="1">
      <alignment horizontal="center"/>
    </xf>
    <xf numFmtId="0" fontId="3" fillId="8" borderId="9" xfId="0" applyFont="1" applyFill="1" applyBorder="1" applyAlignment="1">
      <alignment horizontal="center"/>
    </xf>
    <xf numFmtId="0" fontId="3" fillId="9" borderId="9" xfId="0" applyFont="1" applyFill="1" applyBorder="1" applyAlignment="1">
      <alignment horizontal="center"/>
    </xf>
    <xf numFmtId="0" fontId="3" fillId="9" borderId="0" xfId="0" applyFont="1" applyFill="1" applyAlignment="1">
      <alignment horizontal="center"/>
    </xf>
    <xf numFmtId="0" fontId="2" fillId="3" borderId="0" xfId="0" applyFont="1" applyFill="1" applyAlignment="1">
      <alignment horizontal="center"/>
    </xf>
    <xf numFmtId="0" fontId="2" fillId="3" borderId="9" xfId="0" applyFont="1" applyFill="1" applyBorder="1" applyAlignment="1">
      <alignment horizontal="center"/>
    </xf>
    <xf numFmtId="0" fontId="6" fillId="7" borderId="0" xfId="0" applyFont="1" applyFill="1" applyAlignment="1">
      <alignment horizontal="center"/>
    </xf>
    <xf numFmtId="0" fontId="3" fillId="4" borderId="15" xfId="0" applyFont="1" applyFill="1" applyBorder="1" applyAlignment="1">
      <alignment horizontal="center"/>
    </xf>
    <xf numFmtId="0" fontId="6" fillId="7" borderId="15" xfId="0" applyFont="1" applyFill="1" applyBorder="1" applyAlignment="1">
      <alignment horizontal="center"/>
    </xf>
    <xf numFmtId="0" fontId="3" fillId="5" borderId="0" xfId="0" applyFont="1" applyFill="1" applyAlignment="1">
      <alignment horizontal="center"/>
    </xf>
    <xf numFmtId="0" fontId="3" fillId="6" borderId="0" xfId="0" applyFont="1" applyFill="1" applyAlignment="1">
      <alignment horizontal="center"/>
    </xf>
    <xf numFmtId="0" fontId="9" fillId="10" borderId="0" xfId="0" applyFont="1" applyFill="1" applyAlignment="1">
      <alignment horizontal="center"/>
    </xf>
    <xf numFmtId="0" fontId="3" fillId="5" borderId="15" xfId="0" applyFont="1" applyFill="1" applyBorder="1" applyAlignment="1">
      <alignment horizontal="center"/>
    </xf>
    <xf numFmtId="0" fontId="3" fillId="6" borderId="15" xfId="0" applyFont="1" applyFill="1" applyBorder="1" applyAlignment="1">
      <alignment horizontal="center"/>
    </xf>
    <xf numFmtId="0" fontId="9" fillId="10" borderId="19" xfId="0" applyFont="1" applyFill="1" applyBorder="1" applyAlignment="1">
      <alignment horizontal="center"/>
    </xf>
    <xf numFmtId="0" fontId="2" fillId="3" borderId="15" xfId="0" applyFont="1" applyFill="1" applyBorder="1" applyAlignment="1">
      <alignment horizontal="center"/>
    </xf>
    <xf numFmtId="0" fontId="2" fillId="3" borderId="25" xfId="0" applyFont="1" applyFill="1" applyBorder="1" applyAlignment="1">
      <alignment horizontal="center"/>
    </xf>
    <xf numFmtId="0" fontId="11" fillId="10" borderId="0" xfId="0" applyFont="1" applyFill="1" applyAlignment="1">
      <alignment horizontal="center"/>
    </xf>
    <xf numFmtId="0" fontId="11" fillId="10" borderId="19" xfId="0" applyFont="1" applyFill="1" applyBorder="1" applyAlignment="1">
      <alignment horizontal="center"/>
    </xf>
    <xf numFmtId="0" fontId="2" fillId="3" borderId="0" xfId="0" applyFont="1" applyFill="1" applyBorder="1" applyAlignment="1">
      <alignment horizontal="center"/>
    </xf>
    <xf numFmtId="2" fontId="2" fillId="3" borderId="26" xfId="0" applyNumberFormat="1" applyFont="1" applyFill="1" applyBorder="1" applyAlignment="1">
      <alignment horizontal="right"/>
    </xf>
    <xf numFmtId="0" fontId="0" fillId="16" borderId="28" xfId="0" applyFill="1" applyBorder="1"/>
    <xf numFmtId="0" fontId="0" fillId="16" borderId="29" xfId="1" applyNumberFormat="1" applyFont="1" applyFill="1" applyBorder="1"/>
    <xf numFmtId="0" fontId="0" fillId="16" borderId="28" xfId="1" applyNumberFormat="1" applyFont="1" applyFill="1" applyBorder="1"/>
    <xf numFmtId="0" fontId="2" fillId="11" borderId="27" xfId="0" applyFont="1" applyFill="1" applyBorder="1"/>
    <xf numFmtId="165" fontId="2" fillId="11" borderId="30" xfId="0" applyNumberFormat="1" applyFont="1" applyFill="1" applyBorder="1" applyAlignment="1">
      <alignment horizontal="right"/>
    </xf>
    <xf numFmtId="165" fontId="2" fillId="11" borderId="27" xfId="0" applyNumberFormat="1" applyFont="1" applyFill="1" applyBorder="1" applyAlignment="1">
      <alignment horizontal="right"/>
    </xf>
  </cellXfs>
  <cellStyles count="2">
    <cellStyle name="Normal" xfId="0" builtinId="0"/>
    <cellStyle name="Per cent" xfId="1" builtinId="5"/>
  </cellStyles>
  <dxfs count="10">
    <dxf>
      <font>
        <color theme="1"/>
      </font>
      <fill>
        <patternFill>
          <bgColor rgb="FFFFFF00"/>
        </patternFill>
      </fill>
    </dxf>
    <dxf>
      <font>
        <color theme="1"/>
      </font>
      <fill>
        <patternFill>
          <bgColor rgb="FFFFFF00"/>
        </patternFill>
      </fill>
    </dxf>
    <dxf>
      <font>
        <color theme="1"/>
      </font>
      <fill>
        <patternFill>
          <bgColor rgb="FFFFFF00"/>
        </patternFill>
      </fill>
    </dxf>
    <dxf>
      <font>
        <color theme="1"/>
      </font>
      <fill>
        <patternFill>
          <bgColor rgb="FFFFFF00"/>
        </patternFill>
      </fill>
    </dxf>
    <dxf>
      <font>
        <color theme="1"/>
      </font>
      <fill>
        <patternFill>
          <bgColor rgb="FFFFFF00"/>
        </patternFill>
      </fill>
    </dxf>
    <dxf>
      <font>
        <color theme="1"/>
      </font>
      <fill>
        <patternFill>
          <bgColor rgb="FFFFFF00"/>
        </patternFill>
      </fill>
    </dxf>
    <dxf>
      <font>
        <color theme="1"/>
      </font>
      <fill>
        <patternFill>
          <bgColor rgb="FFFFFF00"/>
        </patternFill>
      </fill>
    </dxf>
    <dxf>
      <font>
        <color theme="1"/>
      </font>
      <fill>
        <patternFill>
          <bgColor rgb="FFFFFF00"/>
        </patternFill>
      </fill>
    </dxf>
    <dxf>
      <font>
        <color theme="1"/>
      </font>
      <fill>
        <patternFill>
          <bgColor rgb="FFFFFF00"/>
        </patternFill>
      </fill>
    </dxf>
    <dxf>
      <font>
        <color theme="1"/>
      </font>
      <fill>
        <patternFill>
          <bgColor rgb="FFFFFF00"/>
        </patternFill>
      </fill>
    </dxf>
  </dxfs>
  <tableStyles count="0" defaultTableStyle="TableStyleMedium2" defaultPivotStyle="PivotStyleLight16"/>
  <colors>
    <mruColors>
      <color rgb="FF293894"/>
      <color rgb="FFFF9999"/>
      <color rgb="FFFF7171"/>
      <color rgb="FFFFE799"/>
      <color rgb="FFFFDD71"/>
      <color rgb="FFFFD449"/>
      <color rgb="FFCEE1F4"/>
      <color rgb="FFBAE2BB"/>
      <color rgb="FF00ABBD"/>
      <color rgb="FF00BED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9.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A0E4D-6EA2-439F-9CD8-5EB163A8819D}">
  <sheetPr>
    <tabColor rgb="FF00BED2"/>
  </sheetPr>
  <dimension ref="B2:E118"/>
  <sheetViews>
    <sheetView topLeftCell="A2" workbookViewId="0">
      <selection activeCell="B2" sqref="B2"/>
    </sheetView>
  </sheetViews>
  <sheetFormatPr defaultRowHeight="15" x14ac:dyDescent="0.25"/>
  <cols>
    <col min="1" max="1" width="2.7109375" style="2" customWidth="1"/>
    <col min="2" max="2" width="21.28515625" style="2" customWidth="1"/>
    <col min="3" max="3" width="60.85546875" style="2" bestFit="1" customWidth="1"/>
    <col min="4" max="4" width="12.28515625" style="35" customWidth="1"/>
    <col min="5" max="5" width="17.85546875" style="2" customWidth="1"/>
    <col min="6" max="16384" width="9.140625" style="2"/>
  </cols>
  <sheetData>
    <row r="2" spans="2:5" ht="15.75" thickBot="1" x14ac:dyDescent="0.3">
      <c r="B2" s="4" t="s">
        <v>27</v>
      </c>
      <c r="C2" s="4" t="s">
        <v>2</v>
      </c>
      <c r="D2" s="181" t="s">
        <v>26</v>
      </c>
      <c r="E2" s="182" t="s">
        <v>1</v>
      </c>
    </row>
    <row r="3" spans="2:5" ht="15.75" thickTop="1" x14ac:dyDescent="0.25">
      <c r="B3" s="2" t="s">
        <v>136</v>
      </c>
      <c r="C3" s="2" t="s">
        <v>58</v>
      </c>
      <c r="D3" s="34" t="s">
        <v>135</v>
      </c>
      <c r="E3" s="179">
        <v>11</v>
      </c>
    </row>
    <row r="4" spans="2:5" x14ac:dyDescent="0.25">
      <c r="B4" s="2" t="s">
        <v>136</v>
      </c>
      <c r="C4" s="2" t="s">
        <v>59</v>
      </c>
      <c r="D4" s="34" t="s">
        <v>135</v>
      </c>
      <c r="E4" s="179">
        <v>112</v>
      </c>
    </row>
    <row r="5" spans="2:5" x14ac:dyDescent="0.25">
      <c r="B5" s="2" t="s">
        <v>136</v>
      </c>
      <c r="C5" s="2" t="s">
        <v>60</v>
      </c>
      <c r="D5" s="34" t="s">
        <v>135</v>
      </c>
      <c r="E5" s="179">
        <v>20.399999999999999</v>
      </c>
    </row>
    <row r="6" spans="2:5" x14ac:dyDescent="0.25">
      <c r="B6" s="2" t="s">
        <v>136</v>
      </c>
      <c r="C6" s="2" t="s">
        <v>58</v>
      </c>
      <c r="D6" s="34" t="s">
        <v>135</v>
      </c>
      <c r="E6" s="179">
        <v>0</v>
      </c>
    </row>
    <row r="7" spans="2:5" x14ac:dyDescent="0.25">
      <c r="B7" s="2" t="s">
        <v>136</v>
      </c>
      <c r="C7" s="2" t="s">
        <v>61</v>
      </c>
      <c r="D7" s="34" t="s">
        <v>135</v>
      </c>
      <c r="E7" s="179">
        <v>5.0999999999999996</v>
      </c>
    </row>
    <row r="8" spans="2:5" x14ac:dyDescent="0.25">
      <c r="B8" s="2" t="s">
        <v>136</v>
      </c>
      <c r="C8" s="2" t="s">
        <v>62</v>
      </c>
      <c r="D8" s="34" t="s">
        <v>135</v>
      </c>
      <c r="E8" s="179">
        <v>4</v>
      </c>
    </row>
    <row r="9" spans="2:5" x14ac:dyDescent="0.25">
      <c r="B9" s="2" t="s">
        <v>136</v>
      </c>
      <c r="C9" s="2" t="s">
        <v>63</v>
      </c>
      <c r="D9" s="34" t="s">
        <v>135</v>
      </c>
      <c r="E9" s="179">
        <v>75.7</v>
      </c>
    </row>
    <row r="10" spans="2:5" x14ac:dyDescent="0.25">
      <c r="B10" s="2" t="s">
        <v>136</v>
      </c>
      <c r="C10" s="2" t="s">
        <v>64</v>
      </c>
      <c r="D10" s="34" t="s">
        <v>135</v>
      </c>
      <c r="E10" s="179">
        <v>293.10000000000002</v>
      </c>
    </row>
    <row r="11" spans="2:5" x14ac:dyDescent="0.25">
      <c r="B11" s="2" t="s">
        <v>136</v>
      </c>
      <c r="C11" s="2" t="s">
        <v>65</v>
      </c>
      <c r="D11" s="34" t="s">
        <v>135</v>
      </c>
      <c r="E11" s="179">
        <v>2.4</v>
      </c>
    </row>
    <row r="12" spans="2:5" x14ac:dyDescent="0.25">
      <c r="B12" s="2" t="s">
        <v>136</v>
      </c>
      <c r="C12" s="2" t="s">
        <v>66</v>
      </c>
      <c r="D12" s="34" t="s">
        <v>135</v>
      </c>
      <c r="E12" s="179">
        <v>447.5</v>
      </c>
    </row>
    <row r="13" spans="2:5" x14ac:dyDescent="0.25">
      <c r="B13" s="2" t="s">
        <v>136</v>
      </c>
      <c r="C13" s="2" t="s">
        <v>67</v>
      </c>
      <c r="D13" s="34" t="s">
        <v>135</v>
      </c>
      <c r="E13" s="179">
        <v>0</v>
      </c>
    </row>
    <row r="14" spans="2:5" x14ac:dyDescent="0.25">
      <c r="B14" s="2" t="s">
        <v>136</v>
      </c>
      <c r="C14" s="2" t="s">
        <v>68</v>
      </c>
      <c r="D14" s="34" t="s">
        <v>25</v>
      </c>
      <c r="E14" s="179">
        <v>175</v>
      </c>
    </row>
    <row r="15" spans="2:5" x14ac:dyDescent="0.25">
      <c r="B15" s="2" t="s">
        <v>136</v>
      </c>
      <c r="C15" s="2" t="s">
        <v>69</v>
      </c>
      <c r="D15" s="34" t="s">
        <v>25</v>
      </c>
      <c r="E15" s="179">
        <v>2</v>
      </c>
    </row>
    <row r="16" spans="2:5" x14ac:dyDescent="0.25">
      <c r="B16" s="2" t="s">
        <v>136</v>
      </c>
      <c r="C16" s="2" t="s">
        <v>70</v>
      </c>
      <c r="D16" s="34" t="s">
        <v>25</v>
      </c>
      <c r="E16" s="179">
        <v>3</v>
      </c>
    </row>
    <row r="17" spans="2:5" x14ac:dyDescent="0.25">
      <c r="B17" s="2" t="s">
        <v>136</v>
      </c>
      <c r="C17" s="2" t="s">
        <v>71</v>
      </c>
      <c r="D17" s="34" t="s">
        <v>25</v>
      </c>
      <c r="E17" s="179">
        <v>138</v>
      </c>
    </row>
    <row r="18" spans="2:5" x14ac:dyDescent="0.25">
      <c r="B18" s="2" t="s">
        <v>136</v>
      </c>
      <c r="C18" s="2" t="s">
        <v>72</v>
      </c>
      <c r="D18" s="34" t="s">
        <v>25</v>
      </c>
      <c r="E18" s="179">
        <v>4.5</v>
      </c>
    </row>
    <row r="19" spans="2:5" x14ac:dyDescent="0.25">
      <c r="B19" s="2" t="s">
        <v>136</v>
      </c>
      <c r="C19" s="2" t="s">
        <v>73</v>
      </c>
      <c r="D19" s="34" t="s">
        <v>25</v>
      </c>
      <c r="E19" s="179">
        <v>8</v>
      </c>
    </row>
    <row r="20" spans="2:5" x14ac:dyDescent="0.25">
      <c r="B20" s="2" t="s">
        <v>136</v>
      </c>
      <c r="C20" s="2" t="s">
        <v>74</v>
      </c>
      <c r="D20" s="34" t="s">
        <v>24</v>
      </c>
      <c r="E20" s="179">
        <v>94</v>
      </c>
    </row>
    <row r="21" spans="2:5" x14ac:dyDescent="0.25">
      <c r="B21" s="2" t="s">
        <v>136</v>
      </c>
      <c r="C21" s="2" t="s">
        <v>75</v>
      </c>
      <c r="D21" s="34" t="s">
        <v>24</v>
      </c>
      <c r="E21" s="179">
        <v>68</v>
      </c>
    </row>
    <row r="22" spans="2:5" x14ac:dyDescent="0.25">
      <c r="B22" s="2" t="s">
        <v>136</v>
      </c>
      <c r="C22" s="2" t="s">
        <v>76</v>
      </c>
      <c r="D22" s="34" t="s">
        <v>24</v>
      </c>
      <c r="E22" s="179">
        <v>0.5</v>
      </c>
    </row>
    <row r="23" spans="2:5" x14ac:dyDescent="0.25">
      <c r="B23" s="2" t="s">
        <v>136</v>
      </c>
      <c r="C23" s="2" t="s">
        <v>77</v>
      </c>
      <c r="D23" s="34" t="s">
        <v>24</v>
      </c>
      <c r="E23" s="179">
        <v>0</v>
      </c>
    </row>
    <row r="24" spans="2:5" x14ac:dyDescent="0.25">
      <c r="B24" s="2" t="s">
        <v>136</v>
      </c>
      <c r="C24" s="2" t="s">
        <v>75</v>
      </c>
      <c r="D24" s="34" t="s">
        <v>24</v>
      </c>
      <c r="E24" s="179">
        <v>1.8</v>
      </c>
    </row>
    <row r="25" spans="2:5" x14ac:dyDescent="0.25">
      <c r="B25" s="2" t="s">
        <v>136</v>
      </c>
      <c r="C25" s="2" t="s">
        <v>78</v>
      </c>
      <c r="D25" s="34" t="s">
        <v>24</v>
      </c>
      <c r="E25" s="179">
        <v>0</v>
      </c>
    </row>
    <row r="26" spans="2:5" x14ac:dyDescent="0.25">
      <c r="B26" s="2" t="s">
        <v>136</v>
      </c>
      <c r="C26" s="2" t="s">
        <v>79</v>
      </c>
      <c r="D26" s="34" t="s">
        <v>24</v>
      </c>
      <c r="E26" s="179">
        <v>0</v>
      </c>
    </row>
    <row r="27" spans="2:5" x14ac:dyDescent="0.25">
      <c r="B27" s="2" t="s">
        <v>136</v>
      </c>
      <c r="C27" s="2" t="s">
        <v>80</v>
      </c>
      <c r="D27" s="34" t="s">
        <v>24</v>
      </c>
      <c r="E27" s="179">
        <v>2.85</v>
      </c>
    </row>
    <row r="28" spans="2:5" x14ac:dyDescent="0.25">
      <c r="B28" s="2" t="s">
        <v>136</v>
      </c>
      <c r="C28" s="2" t="s">
        <v>81</v>
      </c>
      <c r="D28" s="34" t="s">
        <v>24</v>
      </c>
      <c r="E28" s="179">
        <v>0</v>
      </c>
    </row>
    <row r="29" spans="2:5" x14ac:dyDescent="0.25">
      <c r="B29" s="2" t="s">
        <v>136</v>
      </c>
      <c r="C29" s="2" t="s">
        <v>82</v>
      </c>
      <c r="D29" s="34" t="s">
        <v>24</v>
      </c>
      <c r="E29" s="179">
        <v>0</v>
      </c>
    </row>
    <row r="30" spans="2:5" x14ac:dyDescent="0.25">
      <c r="B30" s="2" t="s">
        <v>136</v>
      </c>
      <c r="C30" s="2" t="s">
        <v>77</v>
      </c>
      <c r="D30" s="34" t="s">
        <v>24</v>
      </c>
      <c r="E30" s="179">
        <v>0</v>
      </c>
    </row>
    <row r="31" spans="2:5" x14ac:dyDescent="0.25">
      <c r="B31" s="2" t="s">
        <v>136</v>
      </c>
      <c r="C31" s="2" t="s">
        <v>78</v>
      </c>
      <c r="D31" s="34" t="s">
        <v>24</v>
      </c>
      <c r="E31" s="179">
        <v>0</v>
      </c>
    </row>
    <row r="32" spans="2:5" x14ac:dyDescent="0.25">
      <c r="B32" s="2" t="s">
        <v>136</v>
      </c>
      <c r="C32" s="2" t="s">
        <v>79</v>
      </c>
      <c r="D32" s="34" t="s">
        <v>24</v>
      </c>
      <c r="E32" s="179">
        <v>7.6</v>
      </c>
    </row>
    <row r="33" spans="2:5" x14ac:dyDescent="0.25">
      <c r="B33" s="2" t="s">
        <v>136</v>
      </c>
      <c r="C33" s="2" t="s">
        <v>80</v>
      </c>
      <c r="D33" s="34" t="s">
        <v>24</v>
      </c>
      <c r="E33" s="179">
        <v>2.2999999999999998</v>
      </c>
    </row>
    <row r="34" spans="2:5" x14ac:dyDescent="0.25">
      <c r="B34" s="2" t="s">
        <v>136</v>
      </c>
      <c r="C34" s="2" t="s">
        <v>81</v>
      </c>
      <c r="D34" s="34" t="s">
        <v>24</v>
      </c>
      <c r="E34" s="179">
        <v>0</v>
      </c>
    </row>
    <row r="35" spans="2:5" x14ac:dyDescent="0.25">
      <c r="B35" s="2" t="s">
        <v>136</v>
      </c>
      <c r="C35" s="2" t="s">
        <v>82</v>
      </c>
      <c r="D35" s="34" t="s">
        <v>24</v>
      </c>
      <c r="E35" s="179">
        <v>0</v>
      </c>
    </row>
    <row r="36" spans="2:5" x14ac:dyDescent="0.25">
      <c r="B36" s="2" t="s">
        <v>136</v>
      </c>
      <c r="C36" s="2" t="s">
        <v>83</v>
      </c>
      <c r="D36" s="34" t="s">
        <v>24</v>
      </c>
      <c r="E36" s="179">
        <v>0.2</v>
      </c>
    </row>
    <row r="37" spans="2:5" x14ac:dyDescent="0.25">
      <c r="B37" s="2" t="s">
        <v>136</v>
      </c>
      <c r="C37" s="2" t="s">
        <v>84</v>
      </c>
      <c r="D37" s="34" t="s">
        <v>23</v>
      </c>
      <c r="E37" s="179">
        <v>4.4000000000000004</v>
      </c>
    </row>
    <row r="38" spans="2:5" x14ac:dyDescent="0.25">
      <c r="B38" s="2" t="s">
        <v>136</v>
      </c>
      <c r="C38" s="2" t="s">
        <v>85</v>
      </c>
      <c r="D38" s="34" t="s">
        <v>23</v>
      </c>
      <c r="E38" s="179">
        <v>1.5</v>
      </c>
    </row>
    <row r="39" spans="2:5" x14ac:dyDescent="0.25">
      <c r="B39" s="2" t="s">
        <v>136</v>
      </c>
      <c r="C39" s="2" t="s">
        <v>86</v>
      </c>
      <c r="D39" s="34" t="s">
        <v>23</v>
      </c>
      <c r="E39" s="179">
        <v>12.5</v>
      </c>
    </row>
    <row r="40" spans="2:5" x14ac:dyDescent="0.25">
      <c r="B40" s="2" t="s">
        <v>136</v>
      </c>
      <c r="C40" s="2" t="s">
        <v>87</v>
      </c>
      <c r="D40" s="34" t="s">
        <v>23</v>
      </c>
      <c r="E40" s="179">
        <v>0.75</v>
      </c>
    </row>
    <row r="41" spans="2:5" x14ac:dyDescent="0.25">
      <c r="B41" s="2" t="s">
        <v>136</v>
      </c>
      <c r="C41" s="2" t="s">
        <v>88</v>
      </c>
      <c r="D41" s="34" t="s">
        <v>23</v>
      </c>
      <c r="E41" s="179">
        <v>4</v>
      </c>
    </row>
    <row r="42" spans="2:5" x14ac:dyDescent="0.25">
      <c r="B42" s="2" t="s">
        <v>136</v>
      </c>
      <c r="C42" s="2" t="s">
        <v>89</v>
      </c>
      <c r="D42" s="34" t="s">
        <v>23</v>
      </c>
      <c r="E42" s="179">
        <v>0</v>
      </c>
    </row>
    <row r="43" spans="2:5" x14ac:dyDescent="0.25">
      <c r="B43" s="2" t="s">
        <v>136</v>
      </c>
      <c r="C43" s="2" t="s">
        <v>90</v>
      </c>
      <c r="D43" s="34" t="s">
        <v>23</v>
      </c>
      <c r="E43" s="179">
        <v>36</v>
      </c>
    </row>
    <row r="44" spans="2:5" x14ac:dyDescent="0.25">
      <c r="B44" s="2" t="s">
        <v>136</v>
      </c>
      <c r="C44" s="2" t="s">
        <v>91</v>
      </c>
      <c r="D44" s="34" t="s">
        <v>23</v>
      </c>
      <c r="E44" s="179">
        <v>1</v>
      </c>
    </row>
    <row r="45" spans="2:5" x14ac:dyDescent="0.25">
      <c r="B45" s="2" t="s">
        <v>136</v>
      </c>
      <c r="C45" s="2" t="s">
        <v>90</v>
      </c>
      <c r="D45" s="34" t="s">
        <v>23</v>
      </c>
      <c r="E45" s="179">
        <v>12.3</v>
      </c>
    </row>
    <row r="46" spans="2:5" x14ac:dyDescent="0.25">
      <c r="B46" s="2" t="s">
        <v>136</v>
      </c>
      <c r="C46" s="2" t="s">
        <v>91</v>
      </c>
      <c r="D46" s="34" t="s">
        <v>23</v>
      </c>
      <c r="E46" s="179">
        <v>0.4</v>
      </c>
    </row>
    <row r="47" spans="2:5" x14ac:dyDescent="0.25">
      <c r="B47" s="2" t="s">
        <v>136</v>
      </c>
      <c r="C47" s="2" t="s">
        <v>92</v>
      </c>
      <c r="D47" s="34" t="s">
        <v>22</v>
      </c>
      <c r="E47" s="179">
        <v>162</v>
      </c>
    </row>
    <row r="48" spans="2:5" x14ac:dyDescent="0.25">
      <c r="B48" s="2" t="s">
        <v>136</v>
      </c>
      <c r="C48" s="2" t="s">
        <v>93</v>
      </c>
      <c r="D48" s="34" t="s">
        <v>22</v>
      </c>
      <c r="E48" s="179">
        <v>5.6</v>
      </c>
    </row>
    <row r="49" spans="2:5" x14ac:dyDescent="0.25">
      <c r="B49" s="2" t="s">
        <v>136</v>
      </c>
      <c r="C49" s="2" t="s">
        <v>94</v>
      </c>
      <c r="D49" s="34" t="s">
        <v>22</v>
      </c>
      <c r="E49" s="179">
        <v>2</v>
      </c>
    </row>
    <row r="50" spans="2:5" x14ac:dyDescent="0.25">
      <c r="B50" s="2" t="s">
        <v>136</v>
      </c>
      <c r="C50" s="2" t="s">
        <v>95</v>
      </c>
      <c r="D50" s="34" t="s">
        <v>22</v>
      </c>
      <c r="E50" s="179">
        <v>0</v>
      </c>
    </row>
    <row r="51" spans="2:5" x14ac:dyDescent="0.25">
      <c r="B51" s="2" t="s">
        <v>136</v>
      </c>
      <c r="C51" s="2" t="s">
        <v>96</v>
      </c>
      <c r="D51" s="34" t="s">
        <v>22</v>
      </c>
      <c r="E51" s="179">
        <v>0</v>
      </c>
    </row>
    <row r="52" spans="2:5" x14ac:dyDescent="0.25">
      <c r="B52" s="2" t="s">
        <v>136</v>
      </c>
      <c r="C52" s="2" t="s">
        <v>97</v>
      </c>
      <c r="D52" s="34" t="s">
        <v>22</v>
      </c>
      <c r="E52" s="179">
        <v>9</v>
      </c>
    </row>
    <row r="53" spans="2:5" x14ac:dyDescent="0.25">
      <c r="B53" s="2" t="s">
        <v>136</v>
      </c>
      <c r="C53" s="2" t="s">
        <v>98</v>
      </c>
      <c r="D53" s="34" t="s">
        <v>22</v>
      </c>
      <c r="E53" s="179">
        <v>17</v>
      </c>
    </row>
    <row r="54" spans="2:5" x14ac:dyDescent="0.25">
      <c r="B54" s="2" t="s">
        <v>136</v>
      </c>
      <c r="C54" s="2" t="s">
        <v>99</v>
      </c>
      <c r="D54" s="34" t="s">
        <v>22</v>
      </c>
      <c r="E54" s="179">
        <v>21</v>
      </c>
    </row>
    <row r="55" spans="2:5" x14ac:dyDescent="0.25">
      <c r="B55" s="2" t="s">
        <v>136</v>
      </c>
      <c r="C55" s="2" t="s">
        <v>100</v>
      </c>
      <c r="D55" s="34" t="s">
        <v>22</v>
      </c>
      <c r="E55" s="179">
        <v>0</v>
      </c>
    </row>
    <row r="56" spans="2:5" x14ac:dyDescent="0.25">
      <c r="B56" s="2" t="s">
        <v>136</v>
      </c>
      <c r="C56" s="2" t="s">
        <v>93</v>
      </c>
      <c r="D56" s="34" t="s">
        <v>22</v>
      </c>
      <c r="E56" s="179">
        <v>0.5</v>
      </c>
    </row>
    <row r="57" spans="2:5" x14ac:dyDescent="0.25">
      <c r="B57" s="2" t="s">
        <v>136</v>
      </c>
      <c r="C57" s="2" t="s">
        <v>89</v>
      </c>
      <c r="D57" s="34" t="s">
        <v>22</v>
      </c>
      <c r="E57" s="179">
        <v>0</v>
      </c>
    </row>
    <row r="58" spans="2:5" x14ac:dyDescent="0.25">
      <c r="B58" s="2" t="s">
        <v>136</v>
      </c>
      <c r="C58" s="2" t="s">
        <v>94</v>
      </c>
      <c r="D58" s="34" t="s">
        <v>22</v>
      </c>
      <c r="E58" s="179">
        <v>0</v>
      </c>
    </row>
    <row r="59" spans="2:5" x14ac:dyDescent="0.25">
      <c r="B59" s="2" t="s">
        <v>136</v>
      </c>
      <c r="C59" s="2" t="s">
        <v>95</v>
      </c>
      <c r="D59" s="34" t="s">
        <v>22</v>
      </c>
      <c r="E59" s="179">
        <v>0</v>
      </c>
    </row>
    <row r="60" spans="2:5" x14ac:dyDescent="0.25">
      <c r="B60" s="2" t="s">
        <v>136</v>
      </c>
      <c r="C60" s="2" t="s">
        <v>101</v>
      </c>
      <c r="D60" s="34" t="s">
        <v>22</v>
      </c>
      <c r="E60" s="179">
        <v>0</v>
      </c>
    </row>
    <row r="61" spans="2:5" x14ac:dyDescent="0.25">
      <c r="B61" s="2" t="s">
        <v>136</v>
      </c>
      <c r="C61" s="2" t="s">
        <v>96</v>
      </c>
      <c r="D61" s="34" t="s">
        <v>22</v>
      </c>
      <c r="E61" s="179">
        <v>7.2</v>
      </c>
    </row>
    <row r="62" spans="2:5" x14ac:dyDescent="0.25">
      <c r="B62" s="2" t="s">
        <v>136</v>
      </c>
      <c r="C62" s="2" t="s">
        <v>97</v>
      </c>
      <c r="D62" s="34" t="s">
        <v>22</v>
      </c>
      <c r="E62" s="179">
        <v>0</v>
      </c>
    </row>
    <row r="63" spans="2:5" x14ac:dyDescent="0.25">
      <c r="B63" s="2" t="s">
        <v>136</v>
      </c>
      <c r="C63" s="2" t="s">
        <v>98</v>
      </c>
      <c r="D63" s="34" t="s">
        <v>22</v>
      </c>
      <c r="E63" s="179">
        <v>24</v>
      </c>
    </row>
    <row r="64" spans="2:5" x14ac:dyDescent="0.25">
      <c r="B64" s="2" t="s">
        <v>136</v>
      </c>
      <c r="C64" s="2" t="s">
        <v>99</v>
      </c>
      <c r="D64" s="34" t="s">
        <v>22</v>
      </c>
      <c r="E64" s="179">
        <v>0.9</v>
      </c>
    </row>
    <row r="65" spans="2:5" x14ac:dyDescent="0.25">
      <c r="B65" s="2" t="s">
        <v>136</v>
      </c>
      <c r="C65" s="2" t="s">
        <v>100</v>
      </c>
      <c r="D65" s="34" t="s">
        <v>22</v>
      </c>
      <c r="E65" s="179">
        <v>0</v>
      </c>
    </row>
    <row r="66" spans="2:5" x14ac:dyDescent="0.25">
      <c r="B66" s="2" t="s">
        <v>136</v>
      </c>
      <c r="C66" s="2" t="s">
        <v>102</v>
      </c>
      <c r="D66" s="34" t="s">
        <v>22</v>
      </c>
      <c r="E66" s="179">
        <v>0</v>
      </c>
    </row>
    <row r="67" spans="2:5" x14ac:dyDescent="0.25">
      <c r="B67" s="2" t="s">
        <v>136</v>
      </c>
      <c r="C67" s="2" t="s">
        <v>103</v>
      </c>
      <c r="D67" s="34" t="s">
        <v>21</v>
      </c>
      <c r="E67" s="179">
        <v>0</v>
      </c>
    </row>
    <row r="68" spans="2:5" x14ac:dyDescent="0.25">
      <c r="B68" s="2" t="s">
        <v>136</v>
      </c>
      <c r="C68" s="2" t="s">
        <v>104</v>
      </c>
      <c r="D68" s="34" t="s">
        <v>21</v>
      </c>
      <c r="E68" s="179">
        <v>58.35</v>
      </c>
    </row>
    <row r="69" spans="2:5" x14ac:dyDescent="0.25">
      <c r="B69" s="2" t="s">
        <v>136</v>
      </c>
      <c r="C69" s="2" t="s">
        <v>105</v>
      </c>
      <c r="D69" s="34" t="s">
        <v>21</v>
      </c>
      <c r="E69" s="179">
        <v>51</v>
      </c>
    </row>
    <row r="70" spans="2:5" x14ac:dyDescent="0.25">
      <c r="B70" s="2" t="s">
        <v>136</v>
      </c>
      <c r="C70" s="2" t="s">
        <v>106</v>
      </c>
      <c r="D70" s="34" t="s">
        <v>21</v>
      </c>
      <c r="E70" s="179">
        <v>74.5</v>
      </c>
    </row>
    <row r="71" spans="2:5" x14ac:dyDescent="0.25">
      <c r="B71" s="2" t="s">
        <v>136</v>
      </c>
      <c r="C71" s="2" t="s">
        <v>107</v>
      </c>
      <c r="D71" s="34" t="s">
        <v>21</v>
      </c>
      <c r="E71" s="179">
        <v>30</v>
      </c>
    </row>
    <row r="72" spans="2:5" x14ac:dyDescent="0.25">
      <c r="B72" s="2" t="s">
        <v>136</v>
      </c>
      <c r="C72" s="2" t="s">
        <v>108</v>
      </c>
      <c r="D72" s="34" t="s">
        <v>21</v>
      </c>
      <c r="E72" s="179">
        <v>3.5</v>
      </c>
    </row>
    <row r="73" spans="2:5" x14ac:dyDescent="0.25">
      <c r="B73" s="2" t="s">
        <v>136</v>
      </c>
      <c r="C73" s="2" t="s">
        <v>109</v>
      </c>
      <c r="D73" s="34" t="s">
        <v>21</v>
      </c>
      <c r="E73" s="179">
        <v>8.25</v>
      </c>
    </row>
    <row r="74" spans="2:5" x14ac:dyDescent="0.25">
      <c r="B74" s="2" t="s">
        <v>136</v>
      </c>
      <c r="C74" s="2" t="s">
        <v>110</v>
      </c>
      <c r="D74" s="34" t="s">
        <v>21</v>
      </c>
      <c r="E74" s="179">
        <v>0</v>
      </c>
    </row>
    <row r="75" spans="2:5" x14ac:dyDescent="0.25">
      <c r="B75" s="2" t="s">
        <v>136</v>
      </c>
      <c r="C75" s="2" t="s">
        <v>111</v>
      </c>
      <c r="D75" s="34" t="s">
        <v>21</v>
      </c>
      <c r="E75" s="179">
        <v>4.4000000000000004</v>
      </c>
    </row>
    <row r="76" spans="2:5" x14ac:dyDescent="0.25">
      <c r="B76" s="2" t="s">
        <v>136</v>
      </c>
      <c r="C76" s="2" t="s">
        <v>104</v>
      </c>
      <c r="D76" s="34" t="s">
        <v>21</v>
      </c>
      <c r="E76" s="179">
        <v>0</v>
      </c>
    </row>
    <row r="77" spans="2:5" x14ac:dyDescent="0.25">
      <c r="B77" s="2" t="s">
        <v>136</v>
      </c>
      <c r="C77" s="2" t="s">
        <v>112</v>
      </c>
      <c r="D77" s="34" t="s">
        <v>21</v>
      </c>
      <c r="E77" s="179">
        <v>35.1</v>
      </c>
    </row>
    <row r="78" spans="2:5" x14ac:dyDescent="0.25">
      <c r="B78" s="2" t="s">
        <v>136</v>
      </c>
      <c r="C78" s="2" t="s">
        <v>105</v>
      </c>
      <c r="D78" s="34" t="s">
        <v>21</v>
      </c>
      <c r="E78" s="179">
        <v>11.5</v>
      </c>
    </row>
    <row r="79" spans="2:5" x14ac:dyDescent="0.25">
      <c r="B79" s="2" t="s">
        <v>136</v>
      </c>
      <c r="C79" s="2" t="s">
        <v>106</v>
      </c>
      <c r="D79" s="34" t="s">
        <v>21</v>
      </c>
      <c r="E79" s="179">
        <v>0</v>
      </c>
    </row>
    <row r="80" spans="2:5" x14ac:dyDescent="0.25">
      <c r="B80" s="2" t="s">
        <v>136</v>
      </c>
      <c r="C80" s="2" t="s">
        <v>113</v>
      </c>
      <c r="D80" s="34" t="s">
        <v>21</v>
      </c>
      <c r="E80" s="179">
        <v>9.1</v>
      </c>
    </row>
    <row r="81" spans="2:5" x14ac:dyDescent="0.25">
      <c r="B81" s="2" t="s">
        <v>136</v>
      </c>
      <c r="C81" s="2" t="s">
        <v>114</v>
      </c>
      <c r="D81" s="34" t="s">
        <v>21</v>
      </c>
      <c r="E81" s="179">
        <v>97.5</v>
      </c>
    </row>
    <row r="82" spans="2:5" x14ac:dyDescent="0.25">
      <c r="B82" s="2" t="s">
        <v>136</v>
      </c>
      <c r="C82" s="2" t="s">
        <v>107</v>
      </c>
      <c r="D82" s="34" t="s">
        <v>21</v>
      </c>
      <c r="E82" s="179">
        <v>7</v>
      </c>
    </row>
    <row r="83" spans="2:5" x14ac:dyDescent="0.25">
      <c r="B83" s="2" t="s">
        <v>136</v>
      </c>
      <c r="C83" s="2" t="s">
        <v>115</v>
      </c>
      <c r="D83" s="34" t="s">
        <v>21</v>
      </c>
      <c r="E83" s="179">
        <v>7.2</v>
      </c>
    </row>
    <row r="84" spans="2:5" x14ac:dyDescent="0.25">
      <c r="B84" s="2" t="s">
        <v>136</v>
      </c>
      <c r="C84" s="2" t="s">
        <v>108</v>
      </c>
      <c r="D84" s="34" t="s">
        <v>21</v>
      </c>
      <c r="E84" s="179">
        <v>8.4</v>
      </c>
    </row>
    <row r="85" spans="2:5" x14ac:dyDescent="0.25">
      <c r="B85" s="2" t="s">
        <v>136</v>
      </c>
      <c r="C85" s="2" t="s">
        <v>109</v>
      </c>
      <c r="D85" s="34" t="s">
        <v>21</v>
      </c>
      <c r="E85" s="179">
        <v>5.8</v>
      </c>
    </row>
    <row r="86" spans="2:5" x14ac:dyDescent="0.25">
      <c r="B86" s="2" t="s">
        <v>136</v>
      </c>
      <c r="C86" s="2" t="s">
        <v>116</v>
      </c>
      <c r="D86" s="34" t="s">
        <v>21</v>
      </c>
      <c r="E86" s="179">
        <v>10.5</v>
      </c>
    </row>
    <row r="87" spans="2:5" x14ac:dyDescent="0.25">
      <c r="B87" s="2" t="s">
        <v>137</v>
      </c>
      <c r="C87" s="2" t="s">
        <v>117</v>
      </c>
      <c r="D87" s="34" t="s">
        <v>25</v>
      </c>
      <c r="E87" s="179">
        <v>456.09606813383351</v>
      </c>
    </row>
    <row r="88" spans="2:5" x14ac:dyDescent="0.25">
      <c r="B88" s="2" t="s">
        <v>137</v>
      </c>
      <c r="C88" s="2" t="s">
        <v>118</v>
      </c>
      <c r="D88" s="34" t="s">
        <v>25</v>
      </c>
      <c r="E88" s="179">
        <v>253.44264807404019</v>
      </c>
    </row>
    <row r="89" spans="2:5" x14ac:dyDescent="0.25">
      <c r="B89" s="2" t="s">
        <v>137</v>
      </c>
      <c r="C89" s="2" t="s">
        <v>119</v>
      </c>
      <c r="D89" s="34" t="s">
        <v>24</v>
      </c>
      <c r="E89" s="179">
        <v>367.31734554027253</v>
      </c>
    </row>
    <row r="90" spans="2:5" x14ac:dyDescent="0.25">
      <c r="B90" s="2" t="s">
        <v>137</v>
      </c>
      <c r="C90" s="2" t="s">
        <v>120</v>
      </c>
      <c r="D90" s="34" t="s">
        <v>24</v>
      </c>
      <c r="E90" s="179">
        <v>181.03</v>
      </c>
    </row>
    <row r="91" spans="2:5" x14ac:dyDescent="0.25">
      <c r="B91" s="2" t="s">
        <v>137</v>
      </c>
      <c r="C91" s="2" t="s">
        <v>121</v>
      </c>
      <c r="D91" s="34" t="s">
        <v>22</v>
      </c>
      <c r="E91" s="179">
        <v>2339.4554494399658</v>
      </c>
    </row>
    <row r="92" spans="2:5" x14ac:dyDescent="0.25">
      <c r="B92" s="2" t="s">
        <v>137</v>
      </c>
      <c r="C92" s="2" t="s">
        <v>121</v>
      </c>
      <c r="D92" s="34" t="s">
        <v>23</v>
      </c>
      <c r="E92" s="179">
        <v>1079.7486689722919</v>
      </c>
    </row>
    <row r="93" spans="2:5" x14ac:dyDescent="0.25">
      <c r="B93" s="2" t="s">
        <v>137</v>
      </c>
      <c r="C93" s="2" t="s">
        <v>121</v>
      </c>
      <c r="D93" s="34" t="s">
        <v>24</v>
      </c>
      <c r="E93" s="179">
        <v>179.95811149538201</v>
      </c>
    </row>
    <row r="94" spans="2:5" x14ac:dyDescent="0.25">
      <c r="B94" s="2" t="s">
        <v>137</v>
      </c>
      <c r="C94" s="2" t="s">
        <v>122</v>
      </c>
      <c r="D94" s="34" t="s">
        <v>22</v>
      </c>
      <c r="E94" s="179">
        <v>635.81715795270793</v>
      </c>
    </row>
    <row r="95" spans="2:5" x14ac:dyDescent="0.25">
      <c r="B95" s="2" t="s">
        <v>137</v>
      </c>
      <c r="C95" s="2" t="s">
        <v>122</v>
      </c>
      <c r="D95" s="34" t="s">
        <v>23</v>
      </c>
      <c r="E95" s="179">
        <v>293.45407290124979</v>
      </c>
    </row>
    <row r="96" spans="2:5" x14ac:dyDescent="0.25">
      <c r="B96" s="2" t="s">
        <v>137</v>
      </c>
      <c r="C96" s="2" t="s">
        <v>122</v>
      </c>
      <c r="D96" s="34" t="s">
        <v>24</v>
      </c>
      <c r="E96" s="179">
        <v>48.909012150208298</v>
      </c>
    </row>
    <row r="97" spans="2:5" x14ac:dyDescent="0.25">
      <c r="B97" s="2" t="s">
        <v>137</v>
      </c>
      <c r="C97" s="2" t="s">
        <v>98</v>
      </c>
      <c r="D97" s="34" t="s">
        <v>22</v>
      </c>
      <c r="E97" s="179">
        <v>18.479500000000002</v>
      </c>
    </row>
    <row r="98" spans="2:5" x14ac:dyDescent="0.25">
      <c r="B98" s="2" t="s">
        <v>137</v>
      </c>
      <c r="C98" s="2" t="s">
        <v>98</v>
      </c>
      <c r="D98" s="34" t="s">
        <v>23</v>
      </c>
      <c r="E98" s="179">
        <v>8.5289999999999999</v>
      </c>
    </row>
    <row r="99" spans="2:5" x14ac:dyDescent="0.25">
      <c r="B99" s="2" t="s">
        <v>137</v>
      </c>
      <c r="C99" s="2" t="s">
        <v>98</v>
      </c>
      <c r="D99" s="34" t="s">
        <v>24</v>
      </c>
      <c r="E99" s="179">
        <v>1.4215</v>
      </c>
    </row>
    <row r="100" spans="2:5" x14ac:dyDescent="0.25">
      <c r="B100" s="2" t="s">
        <v>137</v>
      </c>
      <c r="C100" s="2" t="s">
        <v>123</v>
      </c>
      <c r="D100" s="34" t="s">
        <v>22</v>
      </c>
      <c r="E100" s="179">
        <v>386.32294999999999</v>
      </c>
    </row>
    <row r="101" spans="2:5" x14ac:dyDescent="0.25">
      <c r="B101" s="2" t="s">
        <v>137</v>
      </c>
      <c r="C101" s="2" t="s">
        <v>123</v>
      </c>
      <c r="D101" s="34" t="s">
        <v>23</v>
      </c>
      <c r="E101" s="179">
        <v>178.30289999999999</v>
      </c>
    </row>
    <row r="102" spans="2:5" x14ac:dyDescent="0.25">
      <c r="B102" s="2" t="s">
        <v>137</v>
      </c>
      <c r="C102" s="2" t="s">
        <v>123</v>
      </c>
      <c r="D102" s="34" t="s">
        <v>24</v>
      </c>
      <c r="E102" s="179">
        <v>29.71715</v>
      </c>
    </row>
    <row r="103" spans="2:5" x14ac:dyDescent="0.25">
      <c r="B103" s="2" t="s">
        <v>137</v>
      </c>
      <c r="C103" s="2" t="s">
        <v>124</v>
      </c>
      <c r="D103" s="34" t="s">
        <v>22</v>
      </c>
      <c r="E103" s="179">
        <v>84.089421050944409</v>
      </c>
    </row>
    <row r="104" spans="2:5" x14ac:dyDescent="0.25">
      <c r="B104" s="2" t="s">
        <v>137</v>
      </c>
      <c r="C104" s="2" t="s">
        <v>124</v>
      </c>
      <c r="D104" s="34" t="s">
        <v>23</v>
      </c>
      <c r="E104" s="179">
        <v>38.810502023512804</v>
      </c>
    </row>
    <row r="105" spans="2:5" x14ac:dyDescent="0.25">
      <c r="B105" s="2" t="s">
        <v>137</v>
      </c>
      <c r="C105" s="2" t="s">
        <v>124</v>
      </c>
      <c r="D105" s="34" t="s">
        <v>24</v>
      </c>
      <c r="E105" s="179">
        <v>6.4684170039188009</v>
      </c>
    </row>
    <row r="106" spans="2:5" x14ac:dyDescent="0.25">
      <c r="B106" s="2" t="s">
        <v>137</v>
      </c>
      <c r="C106" s="2" t="s">
        <v>125</v>
      </c>
      <c r="D106" s="34" t="s">
        <v>21</v>
      </c>
      <c r="E106" s="179">
        <v>2056.3420150137081</v>
      </c>
    </row>
    <row r="107" spans="2:5" x14ac:dyDescent="0.25">
      <c r="B107" s="2" t="s">
        <v>137</v>
      </c>
      <c r="C107" s="2" t="s">
        <v>126</v>
      </c>
      <c r="D107" s="34" t="s">
        <v>21</v>
      </c>
      <c r="E107" s="179">
        <v>175.45000000000005</v>
      </c>
    </row>
    <row r="108" spans="2:5" x14ac:dyDescent="0.25">
      <c r="B108" s="2" t="s">
        <v>137</v>
      </c>
      <c r="C108" s="2" t="s">
        <v>127</v>
      </c>
      <c r="D108" s="34" t="s">
        <v>21</v>
      </c>
      <c r="E108" s="179">
        <v>201.74599999999998</v>
      </c>
    </row>
    <row r="109" spans="2:5" x14ac:dyDescent="0.25">
      <c r="B109" s="2" t="s">
        <v>137</v>
      </c>
      <c r="C109" s="2" t="s">
        <v>128</v>
      </c>
      <c r="D109" s="34" t="s">
        <v>21</v>
      </c>
      <c r="E109" s="179">
        <v>88.477519804038081</v>
      </c>
    </row>
    <row r="110" spans="2:5" x14ac:dyDescent="0.25">
      <c r="B110" s="2" t="s">
        <v>137</v>
      </c>
      <c r="C110" s="2" t="s">
        <v>129</v>
      </c>
      <c r="D110" s="34" t="s">
        <v>135</v>
      </c>
      <c r="E110" s="179">
        <v>3211.0377720029983</v>
      </c>
    </row>
    <row r="111" spans="2:5" x14ac:dyDescent="0.25">
      <c r="B111" s="2" t="s">
        <v>137</v>
      </c>
      <c r="C111" s="2" t="s">
        <v>130</v>
      </c>
      <c r="D111" s="34" t="s">
        <v>135</v>
      </c>
      <c r="E111" s="179">
        <v>17.880000000000003</v>
      </c>
    </row>
    <row r="112" spans="2:5" x14ac:dyDescent="0.25">
      <c r="B112" s="2" t="s">
        <v>138</v>
      </c>
      <c r="C112" s="2" t="s">
        <v>131</v>
      </c>
      <c r="D112" s="34" t="s">
        <v>22</v>
      </c>
      <c r="E112" s="179">
        <v>25</v>
      </c>
    </row>
    <row r="113" spans="2:5" x14ac:dyDescent="0.25">
      <c r="B113" s="2" t="s">
        <v>138</v>
      </c>
      <c r="C113" s="2" t="s">
        <v>20</v>
      </c>
      <c r="D113" s="34" t="s">
        <v>22</v>
      </c>
      <c r="E113" s="179">
        <v>400</v>
      </c>
    </row>
    <row r="114" spans="2:5" x14ac:dyDescent="0.25">
      <c r="B114" s="2" t="s">
        <v>138</v>
      </c>
      <c r="C114" s="2" t="s">
        <v>132</v>
      </c>
      <c r="D114" s="34" t="s">
        <v>22</v>
      </c>
      <c r="E114" s="179">
        <v>150</v>
      </c>
    </row>
    <row r="115" spans="2:5" x14ac:dyDescent="0.25">
      <c r="B115" s="2" t="s">
        <v>138</v>
      </c>
      <c r="C115" s="2" t="s">
        <v>59</v>
      </c>
      <c r="D115" s="34" t="s">
        <v>135</v>
      </c>
      <c r="E115" s="179">
        <v>1100</v>
      </c>
    </row>
    <row r="116" spans="2:5" x14ac:dyDescent="0.25">
      <c r="B116" s="2" t="s">
        <v>138</v>
      </c>
      <c r="C116" s="2" t="s">
        <v>133</v>
      </c>
      <c r="D116" s="34" t="s">
        <v>21</v>
      </c>
      <c r="E116" s="179">
        <v>9200</v>
      </c>
    </row>
    <row r="117" spans="2:5" x14ac:dyDescent="0.25">
      <c r="B117" s="2" t="s">
        <v>138</v>
      </c>
      <c r="C117" s="2" t="s">
        <v>134</v>
      </c>
      <c r="D117" s="34" t="s">
        <v>135</v>
      </c>
      <c r="E117" s="179">
        <v>1700</v>
      </c>
    </row>
    <row r="118" spans="2:5" x14ac:dyDescent="0.25">
      <c r="B118" s="2" t="s">
        <v>139</v>
      </c>
      <c r="C118" s="2" t="s">
        <v>140</v>
      </c>
      <c r="D118" s="34" t="s">
        <v>45</v>
      </c>
      <c r="E118" s="2">
        <v>28738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28456E-D5B8-45FE-91AA-97131BBE2562}">
  <sheetPr>
    <tabColor rgb="FF00BED2"/>
  </sheetPr>
  <dimension ref="B2:D433"/>
  <sheetViews>
    <sheetView topLeftCell="A397" workbookViewId="0">
      <selection activeCell="E417" sqref="E417"/>
    </sheetView>
  </sheetViews>
  <sheetFormatPr defaultRowHeight="15" x14ac:dyDescent="0.25"/>
  <cols>
    <col min="1" max="1" width="2.7109375" style="2" customWidth="1"/>
    <col min="2" max="2" width="17.85546875" style="2" customWidth="1"/>
    <col min="3" max="4" width="23.28515625" style="2" customWidth="1"/>
    <col min="5" max="16384" width="9.140625" style="2"/>
  </cols>
  <sheetData>
    <row r="2" spans="2:4" ht="15.75" thickBot="1" x14ac:dyDescent="0.3">
      <c r="B2" s="4" t="s">
        <v>3</v>
      </c>
      <c r="C2" s="6" t="s">
        <v>4</v>
      </c>
      <c r="D2" s="7" t="s">
        <v>5</v>
      </c>
    </row>
    <row r="3" spans="2:4" ht="15.75" thickTop="1" x14ac:dyDescent="0.25">
      <c r="B3" s="2">
        <v>2022</v>
      </c>
      <c r="C3" s="3">
        <v>0</v>
      </c>
      <c r="D3" s="5">
        <v>337472</v>
      </c>
    </row>
    <row r="4" spans="2:4" x14ac:dyDescent="0.25">
      <c r="B4" s="2">
        <v>2022</v>
      </c>
      <c r="C4" s="3">
        <v>1</v>
      </c>
      <c r="D4" s="5">
        <v>127755</v>
      </c>
    </row>
    <row r="5" spans="2:4" x14ac:dyDescent="0.25">
      <c r="B5" s="2">
        <v>2022</v>
      </c>
      <c r="C5" s="3">
        <v>2</v>
      </c>
      <c r="D5" s="5">
        <v>60837</v>
      </c>
    </row>
    <row r="6" spans="2:4" x14ac:dyDescent="0.25">
      <c r="B6" s="2">
        <v>2022</v>
      </c>
      <c r="C6" s="3">
        <v>3</v>
      </c>
      <c r="D6" s="5">
        <v>32607</v>
      </c>
    </row>
    <row r="7" spans="2:4" x14ac:dyDescent="0.25">
      <c r="B7" s="2">
        <v>2022</v>
      </c>
      <c r="C7" s="3">
        <v>4</v>
      </c>
      <c r="D7" s="5">
        <v>16736</v>
      </c>
    </row>
    <row r="8" spans="2:4" x14ac:dyDescent="0.25">
      <c r="B8" s="2">
        <v>2022</v>
      </c>
      <c r="C8" s="3">
        <v>5</v>
      </c>
      <c r="D8" s="5">
        <v>8331</v>
      </c>
    </row>
    <row r="9" spans="2:4" x14ac:dyDescent="0.25">
      <c r="B9" s="2">
        <v>2022</v>
      </c>
      <c r="C9" s="3">
        <v>6</v>
      </c>
      <c r="D9" s="5">
        <v>4219</v>
      </c>
    </row>
    <row r="10" spans="2:4" x14ac:dyDescent="0.25">
      <c r="B10" s="2">
        <v>2022</v>
      </c>
      <c r="C10" s="3">
        <v>7</v>
      </c>
      <c r="D10" s="5">
        <v>2041</v>
      </c>
    </row>
    <row r="11" spans="2:4" x14ac:dyDescent="0.25">
      <c r="B11" s="2">
        <v>2022</v>
      </c>
      <c r="C11" s="3">
        <v>8</v>
      </c>
      <c r="D11" s="5">
        <v>961</v>
      </c>
    </row>
    <row r="12" spans="2:4" x14ac:dyDescent="0.25">
      <c r="B12" s="2">
        <v>2022</v>
      </c>
      <c r="C12" s="3">
        <v>9</v>
      </c>
      <c r="D12" s="5">
        <v>404</v>
      </c>
    </row>
    <row r="13" spans="2:4" x14ac:dyDescent="0.25">
      <c r="B13" s="2">
        <v>2022</v>
      </c>
      <c r="C13" s="3">
        <v>10</v>
      </c>
      <c r="D13" s="5">
        <v>187</v>
      </c>
    </row>
    <row r="14" spans="2:4" x14ac:dyDescent="0.25">
      <c r="B14" s="2">
        <v>2022</v>
      </c>
      <c r="C14" s="3">
        <v>11</v>
      </c>
      <c r="D14" s="5">
        <v>73</v>
      </c>
    </row>
    <row r="15" spans="2:4" x14ac:dyDescent="0.25">
      <c r="B15" s="2">
        <v>2022</v>
      </c>
      <c r="C15" s="3">
        <v>12</v>
      </c>
      <c r="D15" s="5">
        <v>32</v>
      </c>
    </row>
    <row r="16" spans="2:4" x14ac:dyDescent="0.25">
      <c r="B16" s="2">
        <v>2022</v>
      </c>
      <c r="C16" s="3">
        <v>13</v>
      </c>
      <c r="D16" s="5">
        <v>7</v>
      </c>
    </row>
    <row r="17" spans="2:4" x14ac:dyDescent="0.25">
      <c r="B17" s="2">
        <v>2022</v>
      </c>
      <c r="C17" s="3">
        <v>14</v>
      </c>
      <c r="D17" s="5">
        <v>7</v>
      </c>
    </row>
    <row r="18" spans="2:4" x14ac:dyDescent="0.25">
      <c r="B18" s="2">
        <v>2022</v>
      </c>
      <c r="C18" s="3">
        <v>15</v>
      </c>
      <c r="D18" s="5">
        <v>1</v>
      </c>
    </row>
    <row r="19" spans="2:4" x14ac:dyDescent="0.25">
      <c r="B19" s="2">
        <v>2023</v>
      </c>
      <c r="C19" s="3">
        <v>0</v>
      </c>
      <c r="D19" s="5">
        <v>339945</v>
      </c>
    </row>
    <row r="20" spans="2:4" x14ac:dyDescent="0.25">
      <c r="B20" s="2">
        <v>2023</v>
      </c>
      <c r="C20" s="3">
        <v>1</v>
      </c>
      <c r="D20" s="5">
        <v>128413</v>
      </c>
    </row>
    <row r="21" spans="2:4" x14ac:dyDescent="0.25">
      <c r="B21" s="2">
        <v>2023</v>
      </c>
      <c r="C21" s="3">
        <v>2</v>
      </c>
      <c r="D21" s="2">
        <v>61742</v>
      </c>
    </row>
    <row r="22" spans="2:4" x14ac:dyDescent="0.25">
      <c r="B22" s="2">
        <v>2023</v>
      </c>
      <c r="C22" s="3">
        <v>3</v>
      </c>
      <c r="D22" s="2">
        <v>33165</v>
      </c>
    </row>
    <row r="23" spans="2:4" x14ac:dyDescent="0.25">
      <c r="B23" s="2">
        <v>2023</v>
      </c>
      <c r="C23" s="3">
        <v>4</v>
      </c>
      <c r="D23" s="2">
        <v>17255</v>
      </c>
    </row>
    <row r="24" spans="2:4" x14ac:dyDescent="0.25">
      <c r="B24" s="2">
        <v>2023</v>
      </c>
      <c r="C24" s="3">
        <v>5</v>
      </c>
      <c r="D24" s="2">
        <v>8525</v>
      </c>
    </row>
    <row r="25" spans="2:4" x14ac:dyDescent="0.25">
      <c r="B25" s="2">
        <v>2023</v>
      </c>
      <c r="C25" s="3">
        <v>6</v>
      </c>
      <c r="D25" s="2">
        <v>4214</v>
      </c>
    </row>
    <row r="26" spans="2:4" x14ac:dyDescent="0.25">
      <c r="B26" s="2">
        <v>2023</v>
      </c>
      <c r="C26" s="3">
        <v>7</v>
      </c>
      <c r="D26" s="2">
        <v>2048</v>
      </c>
    </row>
    <row r="27" spans="2:4" x14ac:dyDescent="0.25">
      <c r="B27" s="2">
        <v>2023</v>
      </c>
      <c r="C27" s="3">
        <v>8</v>
      </c>
      <c r="D27" s="2">
        <v>1007</v>
      </c>
    </row>
    <row r="28" spans="2:4" x14ac:dyDescent="0.25">
      <c r="B28" s="2">
        <v>2023</v>
      </c>
      <c r="C28" s="3">
        <v>9</v>
      </c>
      <c r="D28" s="2">
        <v>456</v>
      </c>
    </row>
    <row r="29" spans="2:4" x14ac:dyDescent="0.25">
      <c r="B29" s="2">
        <v>2023</v>
      </c>
      <c r="C29" s="3">
        <v>10</v>
      </c>
      <c r="D29" s="2">
        <v>232</v>
      </c>
    </row>
    <row r="30" spans="2:4" x14ac:dyDescent="0.25">
      <c r="B30" s="2">
        <v>2023</v>
      </c>
      <c r="C30" s="3">
        <v>11</v>
      </c>
      <c r="D30" s="2">
        <v>99</v>
      </c>
    </row>
    <row r="31" spans="2:4" x14ac:dyDescent="0.25">
      <c r="B31" s="2">
        <v>2023</v>
      </c>
      <c r="C31" s="3">
        <v>12</v>
      </c>
      <c r="D31" s="2">
        <v>37</v>
      </c>
    </row>
    <row r="32" spans="2:4" x14ac:dyDescent="0.25">
      <c r="B32" s="2">
        <v>2023</v>
      </c>
      <c r="C32" s="3">
        <v>13</v>
      </c>
      <c r="D32" s="2">
        <v>9</v>
      </c>
    </row>
    <row r="33" spans="2:4" x14ac:dyDescent="0.25">
      <c r="B33" s="2">
        <v>2023</v>
      </c>
      <c r="C33" s="3">
        <v>14</v>
      </c>
      <c r="D33" s="2">
        <v>2</v>
      </c>
    </row>
    <row r="34" spans="2:4" x14ac:dyDescent="0.25">
      <c r="B34" s="2">
        <v>2023</v>
      </c>
      <c r="C34" s="3">
        <v>15</v>
      </c>
      <c r="D34" s="2">
        <v>1</v>
      </c>
    </row>
    <row r="35" spans="2:4" x14ac:dyDescent="0.25">
      <c r="B35" s="2">
        <v>2023</v>
      </c>
      <c r="C35" s="3">
        <v>16</v>
      </c>
      <c r="D35" s="2">
        <v>1</v>
      </c>
    </row>
    <row r="36" spans="2:4" x14ac:dyDescent="0.25">
      <c r="B36" s="2">
        <v>2024</v>
      </c>
      <c r="C36" s="3">
        <v>0</v>
      </c>
      <c r="D36" s="2">
        <v>341386</v>
      </c>
    </row>
    <row r="37" spans="2:4" x14ac:dyDescent="0.25">
      <c r="B37" s="2">
        <v>2024</v>
      </c>
      <c r="C37" s="3">
        <v>1</v>
      </c>
      <c r="D37" s="2">
        <v>130216</v>
      </c>
    </row>
    <row r="38" spans="2:4" x14ac:dyDescent="0.25">
      <c r="B38" s="2">
        <v>2024</v>
      </c>
      <c r="C38" s="3">
        <v>2</v>
      </c>
      <c r="D38" s="2">
        <v>62578</v>
      </c>
    </row>
    <row r="39" spans="2:4" x14ac:dyDescent="0.25">
      <c r="B39" s="2">
        <v>2024</v>
      </c>
      <c r="C39" s="3">
        <v>3</v>
      </c>
      <c r="D39" s="2">
        <v>33432</v>
      </c>
    </row>
    <row r="40" spans="2:4" x14ac:dyDescent="0.25">
      <c r="B40" s="2">
        <v>2024</v>
      </c>
      <c r="C40" s="3">
        <v>4</v>
      </c>
      <c r="D40" s="2">
        <v>17676</v>
      </c>
    </row>
    <row r="41" spans="2:4" x14ac:dyDescent="0.25">
      <c r="B41" s="2">
        <v>2024</v>
      </c>
      <c r="C41" s="3">
        <v>5</v>
      </c>
      <c r="D41" s="2">
        <v>8774</v>
      </c>
    </row>
    <row r="42" spans="2:4" x14ac:dyDescent="0.25">
      <c r="B42" s="2">
        <v>2024</v>
      </c>
      <c r="C42" s="3">
        <v>6</v>
      </c>
      <c r="D42" s="2">
        <v>4294</v>
      </c>
    </row>
    <row r="43" spans="2:4" x14ac:dyDescent="0.25">
      <c r="B43" s="2">
        <v>2024</v>
      </c>
      <c r="C43" s="3">
        <v>7</v>
      </c>
      <c r="D43" s="2">
        <v>2116</v>
      </c>
    </row>
    <row r="44" spans="2:4" x14ac:dyDescent="0.25">
      <c r="B44" s="2">
        <v>2024</v>
      </c>
      <c r="C44" s="3">
        <v>8</v>
      </c>
      <c r="D44" s="2">
        <v>1034</v>
      </c>
    </row>
    <row r="45" spans="2:4" x14ac:dyDescent="0.25">
      <c r="B45" s="2">
        <v>2024</v>
      </c>
      <c r="C45" s="3">
        <v>9</v>
      </c>
      <c r="D45" s="2">
        <v>460</v>
      </c>
    </row>
    <row r="46" spans="2:4" x14ac:dyDescent="0.25">
      <c r="B46" s="2">
        <v>2024</v>
      </c>
      <c r="C46" s="3">
        <v>10</v>
      </c>
      <c r="D46" s="2">
        <v>199</v>
      </c>
    </row>
    <row r="47" spans="2:4" x14ac:dyDescent="0.25">
      <c r="B47" s="2">
        <v>2024</v>
      </c>
      <c r="C47" s="3">
        <v>11</v>
      </c>
      <c r="D47" s="2">
        <v>85</v>
      </c>
    </row>
    <row r="48" spans="2:4" x14ac:dyDescent="0.25">
      <c r="B48" s="2">
        <v>2024</v>
      </c>
      <c r="C48" s="3">
        <v>12</v>
      </c>
      <c r="D48" s="2">
        <v>23</v>
      </c>
    </row>
    <row r="49" spans="2:4" x14ac:dyDescent="0.25">
      <c r="B49" s="2">
        <v>2024</v>
      </c>
      <c r="C49" s="3">
        <v>13</v>
      </c>
      <c r="D49" s="2">
        <v>12</v>
      </c>
    </row>
    <row r="50" spans="2:4" x14ac:dyDescent="0.25">
      <c r="B50" s="2">
        <v>2024</v>
      </c>
      <c r="C50" s="3">
        <v>14</v>
      </c>
      <c r="D50" s="2">
        <v>7</v>
      </c>
    </row>
    <row r="51" spans="2:4" x14ac:dyDescent="0.25">
      <c r="B51" s="2">
        <v>2024</v>
      </c>
      <c r="C51" s="3">
        <v>15</v>
      </c>
      <c r="D51" s="2">
        <v>3</v>
      </c>
    </row>
    <row r="52" spans="2:4" x14ac:dyDescent="0.25">
      <c r="B52" s="2">
        <v>2024</v>
      </c>
      <c r="C52" s="3">
        <v>16</v>
      </c>
      <c r="D52" s="2">
        <v>2</v>
      </c>
    </row>
    <row r="53" spans="2:4" x14ac:dyDescent="0.25">
      <c r="B53" s="2">
        <v>2025</v>
      </c>
      <c r="C53" s="3">
        <v>0</v>
      </c>
      <c r="D53" s="2">
        <v>341401</v>
      </c>
    </row>
    <row r="54" spans="2:4" x14ac:dyDescent="0.25">
      <c r="B54" s="2">
        <v>2025</v>
      </c>
      <c r="C54" s="3">
        <v>1</v>
      </c>
      <c r="D54" s="2">
        <v>131716</v>
      </c>
    </row>
    <row r="55" spans="2:4" x14ac:dyDescent="0.25">
      <c r="B55" s="2">
        <v>2025</v>
      </c>
      <c r="C55" s="3">
        <v>2</v>
      </c>
      <c r="D55" s="2">
        <v>63369</v>
      </c>
    </row>
    <row r="56" spans="2:4" x14ac:dyDescent="0.25">
      <c r="B56" s="2">
        <v>2025</v>
      </c>
      <c r="C56" s="3">
        <v>3</v>
      </c>
      <c r="D56" s="2">
        <v>34241</v>
      </c>
    </row>
    <row r="57" spans="2:4" x14ac:dyDescent="0.25">
      <c r="B57" s="2">
        <v>2025</v>
      </c>
      <c r="C57" s="3">
        <v>4</v>
      </c>
      <c r="D57" s="2">
        <v>17932</v>
      </c>
    </row>
    <row r="58" spans="2:4" x14ac:dyDescent="0.25">
      <c r="B58" s="2">
        <v>2025</v>
      </c>
      <c r="C58" s="3">
        <v>5</v>
      </c>
      <c r="D58" s="2">
        <v>9119</v>
      </c>
    </row>
    <row r="59" spans="2:4" x14ac:dyDescent="0.25">
      <c r="B59" s="2">
        <v>2025</v>
      </c>
      <c r="C59" s="3">
        <v>6</v>
      </c>
      <c r="D59" s="2">
        <v>4408</v>
      </c>
    </row>
    <row r="60" spans="2:4" x14ac:dyDescent="0.25">
      <c r="B60" s="2">
        <v>2025</v>
      </c>
      <c r="C60" s="3">
        <v>7</v>
      </c>
      <c r="D60" s="2">
        <v>2191</v>
      </c>
    </row>
    <row r="61" spans="2:4" x14ac:dyDescent="0.25">
      <c r="B61" s="2">
        <v>2025</v>
      </c>
      <c r="C61" s="3">
        <v>8</v>
      </c>
      <c r="D61" s="2">
        <v>971</v>
      </c>
    </row>
    <row r="62" spans="2:4" x14ac:dyDescent="0.25">
      <c r="B62" s="2">
        <v>2025</v>
      </c>
      <c r="C62" s="3">
        <v>9</v>
      </c>
      <c r="D62" s="2">
        <v>498</v>
      </c>
    </row>
    <row r="63" spans="2:4" x14ac:dyDescent="0.25">
      <c r="B63" s="2">
        <v>2025</v>
      </c>
      <c r="C63" s="3">
        <v>10</v>
      </c>
      <c r="D63" s="2">
        <v>228</v>
      </c>
    </row>
    <row r="64" spans="2:4" x14ac:dyDescent="0.25">
      <c r="B64" s="2">
        <v>2025</v>
      </c>
      <c r="C64" s="3">
        <v>11</v>
      </c>
      <c r="D64" s="2">
        <v>89</v>
      </c>
    </row>
    <row r="65" spans="2:4" x14ac:dyDescent="0.25">
      <c r="B65" s="2">
        <v>2025</v>
      </c>
      <c r="C65" s="3">
        <v>12</v>
      </c>
      <c r="D65" s="2">
        <v>27</v>
      </c>
    </row>
    <row r="66" spans="2:4" x14ac:dyDescent="0.25">
      <c r="B66" s="2">
        <v>2025</v>
      </c>
      <c r="C66" s="3">
        <v>13</v>
      </c>
      <c r="D66" s="2">
        <v>14</v>
      </c>
    </row>
    <row r="67" spans="2:4" x14ac:dyDescent="0.25">
      <c r="B67" s="2">
        <v>2025</v>
      </c>
      <c r="C67" s="3">
        <v>14</v>
      </c>
      <c r="D67" s="2">
        <v>5</v>
      </c>
    </row>
    <row r="68" spans="2:4" x14ac:dyDescent="0.25">
      <c r="B68" s="2">
        <v>2025</v>
      </c>
      <c r="C68" s="3">
        <v>16</v>
      </c>
      <c r="D68" s="2">
        <v>1</v>
      </c>
    </row>
    <row r="69" spans="2:4" x14ac:dyDescent="0.25">
      <c r="B69" s="2">
        <v>2026</v>
      </c>
      <c r="C69" s="3">
        <v>0</v>
      </c>
      <c r="D69" s="2">
        <v>342269</v>
      </c>
    </row>
    <row r="70" spans="2:4" x14ac:dyDescent="0.25">
      <c r="B70" s="2">
        <v>2026</v>
      </c>
      <c r="C70" s="3">
        <v>1</v>
      </c>
      <c r="D70" s="2">
        <v>132456</v>
      </c>
    </row>
    <row r="71" spans="2:4" x14ac:dyDescent="0.25">
      <c r="B71" s="2">
        <v>2026</v>
      </c>
      <c r="C71" s="3">
        <v>2</v>
      </c>
      <c r="D71" s="2">
        <v>64306</v>
      </c>
    </row>
    <row r="72" spans="2:4" x14ac:dyDescent="0.25">
      <c r="B72" s="2">
        <v>2026</v>
      </c>
      <c r="C72" s="3">
        <v>3</v>
      </c>
      <c r="D72" s="2">
        <v>34710</v>
      </c>
    </row>
    <row r="73" spans="2:4" x14ac:dyDescent="0.25">
      <c r="B73" s="2">
        <v>2026</v>
      </c>
      <c r="C73" s="3">
        <v>4</v>
      </c>
      <c r="D73" s="2">
        <v>18085</v>
      </c>
    </row>
    <row r="74" spans="2:4" x14ac:dyDescent="0.25">
      <c r="B74" s="2">
        <v>2026</v>
      </c>
      <c r="C74" s="3">
        <v>5</v>
      </c>
      <c r="D74" s="2">
        <v>9245</v>
      </c>
    </row>
    <row r="75" spans="2:4" x14ac:dyDescent="0.25">
      <c r="B75" s="2">
        <v>2026</v>
      </c>
      <c r="C75" s="3">
        <v>6</v>
      </c>
      <c r="D75" s="2">
        <v>4513</v>
      </c>
    </row>
    <row r="76" spans="2:4" x14ac:dyDescent="0.25">
      <c r="B76" s="2">
        <v>2026</v>
      </c>
      <c r="C76" s="3">
        <v>7</v>
      </c>
      <c r="D76" s="2">
        <v>2269</v>
      </c>
    </row>
    <row r="77" spans="2:4" x14ac:dyDescent="0.25">
      <c r="B77" s="2">
        <v>2026</v>
      </c>
      <c r="C77" s="3">
        <v>8</v>
      </c>
      <c r="D77" s="2">
        <v>1090</v>
      </c>
    </row>
    <row r="78" spans="2:4" x14ac:dyDescent="0.25">
      <c r="B78" s="2">
        <v>2026</v>
      </c>
      <c r="C78" s="3">
        <v>9</v>
      </c>
      <c r="D78" s="2">
        <v>442</v>
      </c>
    </row>
    <row r="79" spans="2:4" x14ac:dyDescent="0.25">
      <c r="B79" s="2">
        <v>2026</v>
      </c>
      <c r="C79" s="3">
        <v>10</v>
      </c>
      <c r="D79" s="2">
        <v>200</v>
      </c>
    </row>
    <row r="80" spans="2:4" x14ac:dyDescent="0.25">
      <c r="B80" s="2">
        <v>2026</v>
      </c>
      <c r="C80" s="3">
        <v>11</v>
      </c>
      <c r="D80" s="2">
        <v>82</v>
      </c>
    </row>
    <row r="81" spans="2:4" x14ac:dyDescent="0.25">
      <c r="B81" s="2">
        <v>2026</v>
      </c>
      <c r="C81" s="3">
        <v>12</v>
      </c>
      <c r="D81" s="2">
        <v>46</v>
      </c>
    </row>
    <row r="82" spans="2:4" x14ac:dyDescent="0.25">
      <c r="B82" s="2">
        <v>2026</v>
      </c>
      <c r="C82" s="3">
        <v>13</v>
      </c>
      <c r="D82" s="2">
        <v>9</v>
      </c>
    </row>
    <row r="83" spans="2:4" x14ac:dyDescent="0.25">
      <c r="B83" s="2">
        <v>2026</v>
      </c>
      <c r="C83" s="3">
        <v>14</v>
      </c>
      <c r="D83" s="2">
        <v>4</v>
      </c>
    </row>
    <row r="84" spans="2:4" x14ac:dyDescent="0.25">
      <c r="B84" s="2">
        <v>2026</v>
      </c>
      <c r="C84" s="3">
        <v>16</v>
      </c>
      <c r="D84" s="2">
        <v>2</v>
      </c>
    </row>
    <row r="85" spans="2:4" x14ac:dyDescent="0.25">
      <c r="B85" s="2">
        <v>2027</v>
      </c>
      <c r="C85" s="3">
        <v>0</v>
      </c>
      <c r="D85" s="2">
        <v>342211</v>
      </c>
    </row>
    <row r="86" spans="2:4" x14ac:dyDescent="0.25">
      <c r="B86" s="2">
        <v>2027</v>
      </c>
      <c r="C86" s="3">
        <v>1</v>
      </c>
      <c r="D86" s="2">
        <v>134053</v>
      </c>
    </row>
    <row r="87" spans="2:4" x14ac:dyDescent="0.25">
      <c r="B87" s="2">
        <v>2027</v>
      </c>
      <c r="C87" s="3">
        <v>2</v>
      </c>
      <c r="D87" s="2">
        <v>64815</v>
      </c>
    </row>
    <row r="88" spans="2:4" x14ac:dyDescent="0.25">
      <c r="B88" s="2">
        <v>2027</v>
      </c>
      <c r="C88" s="3">
        <v>3</v>
      </c>
      <c r="D88" s="2">
        <v>35507</v>
      </c>
    </row>
    <row r="89" spans="2:4" x14ac:dyDescent="0.25">
      <c r="B89" s="2">
        <v>2027</v>
      </c>
      <c r="C89" s="3">
        <v>4</v>
      </c>
      <c r="D89" s="2">
        <v>18559</v>
      </c>
    </row>
    <row r="90" spans="2:4" x14ac:dyDescent="0.25">
      <c r="B90" s="2">
        <v>2027</v>
      </c>
      <c r="C90" s="3">
        <v>5</v>
      </c>
      <c r="D90" s="2">
        <v>9099</v>
      </c>
    </row>
    <row r="91" spans="2:4" x14ac:dyDescent="0.25">
      <c r="B91" s="2">
        <v>2027</v>
      </c>
      <c r="C91" s="3">
        <v>6</v>
      </c>
      <c r="D91" s="2">
        <v>4630</v>
      </c>
    </row>
    <row r="92" spans="2:4" x14ac:dyDescent="0.25">
      <c r="B92" s="2">
        <v>2027</v>
      </c>
      <c r="C92" s="3">
        <v>7</v>
      </c>
      <c r="D92" s="2">
        <v>2210</v>
      </c>
    </row>
    <row r="93" spans="2:4" x14ac:dyDescent="0.25">
      <c r="B93" s="2">
        <v>2027</v>
      </c>
      <c r="C93" s="3">
        <v>8</v>
      </c>
      <c r="D93" s="2">
        <v>1157</v>
      </c>
    </row>
    <row r="94" spans="2:4" x14ac:dyDescent="0.25">
      <c r="B94" s="2">
        <v>2027</v>
      </c>
      <c r="C94" s="3">
        <v>9</v>
      </c>
      <c r="D94" s="2">
        <v>449</v>
      </c>
    </row>
    <row r="95" spans="2:4" x14ac:dyDescent="0.25">
      <c r="B95" s="2">
        <v>2027</v>
      </c>
      <c r="C95" s="3">
        <v>10</v>
      </c>
      <c r="D95" s="2">
        <v>225</v>
      </c>
    </row>
    <row r="96" spans="2:4" x14ac:dyDescent="0.25">
      <c r="B96" s="2">
        <v>2027</v>
      </c>
      <c r="C96" s="3">
        <v>11</v>
      </c>
      <c r="D96" s="2">
        <v>101</v>
      </c>
    </row>
    <row r="97" spans="2:4" x14ac:dyDescent="0.25">
      <c r="B97" s="2">
        <v>2027</v>
      </c>
      <c r="C97" s="3">
        <v>12</v>
      </c>
      <c r="D97" s="2">
        <v>32</v>
      </c>
    </row>
    <row r="98" spans="2:4" x14ac:dyDescent="0.25">
      <c r="B98" s="2">
        <v>2027</v>
      </c>
      <c r="C98" s="3">
        <v>13</v>
      </c>
      <c r="D98" s="2">
        <v>18</v>
      </c>
    </row>
    <row r="99" spans="2:4" x14ac:dyDescent="0.25">
      <c r="B99" s="2">
        <v>2027</v>
      </c>
      <c r="C99" s="3">
        <v>14</v>
      </c>
      <c r="D99" s="2">
        <v>9</v>
      </c>
    </row>
    <row r="100" spans="2:4" x14ac:dyDescent="0.25">
      <c r="B100" s="2">
        <v>2027</v>
      </c>
      <c r="C100" s="3">
        <v>15</v>
      </c>
      <c r="D100" s="2">
        <v>1</v>
      </c>
    </row>
    <row r="101" spans="2:4" x14ac:dyDescent="0.25">
      <c r="B101" s="2">
        <v>2028</v>
      </c>
      <c r="C101" s="3">
        <v>0</v>
      </c>
      <c r="D101" s="2">
        <v>342344</v>
      </c>
    </row>
    <row r="102" spans="2:4" x14ac:dyDescent="0.25">
      <c r="B102" s="2">
        <v>2028</v>
      </c>
      <c r="C102" s="3">
        <v>1</v>
      </c>
      <c r="D102" s="2">
        <v>134310</v>
      </c>
    </row>
    <row r="103" spans="2:4" x14ac:dyDescent="0.25">
      <c r="B103" s="2">
        <v>2028</v>
      </c>
      <c r="C103" s="3">
        <v>2</v>
      </c>
      <c r="D103" s="2">
        <v>66127</v>
      </c>
    </row>
    <row r="104" spans="2:4" x14ac:dyDescent="0.25">
      <c r="B104" s="2">
        <v>2028</v>
      </c>
      <c r="C104" s="3">
        <v>3</v>
      </c>
      <c r="D104" s="2">
        <v>36043</v>
      </c>
    </row>
    <row r="105" spans="2:4" x14ac:dyDescent="0.25">
      <c r="B105" s="2">
        <v>2028</v>
      </c>
      <c r="C105" s="3">
        <v>4</v>
      </c>
      <c r="D105" s="2">
        <v>18935</v>
      </c>
    </row>
    <row r="106" spans="2:4" x14ac:dyDescent="0.25">
      <c r="B106" s="2">
        <v>2028</v>
      </c>
      <c r="C106" s="3">
        <v>5</v>
      </c>
      <c r="D106" s="2">
        <v>9642</v>
      </c>
    </row>
    <row r="107" spans="2:4" x14ac:dyDescent="0.25">
      <c r="B107" s="2">
        <v>2028</v>
      </c>
      <c r="C107" s="3">
        <v>6</v>
      </c>
      <c r="D107" s="2">
        <v>4670</v>
      </c>
    </row>
    <row r="108" spans="2:4" x14ac:dyDescent="0.25">
      <c r="B108" s="2">
        <v>2028</v>
      </c>
      <c r="C108" s="3">
        <v>7</v>
      </c>
      <c r="D108" s="2">
        <v>2391</v>
      </c>
    </row>
    <row r="109" spans="2:4" x14ac:dyDescent="0.25">
      <c r="B109" s="2">
        <v>2028</v>
      </c>
      <c r="C109" s="3">
        <v>8</v>
      </c>
      <c r="D109" s="2">
        <v>1161</v>
      </c>
    </row>
    <row r="110" spans="2:4" x14ac:dyDescent="0.25">
      <c r="B110" s="2">
        <v>2028</v>
      </c>
      <c r="C110" s="3">
        <v>9</v>
      </c>
      <c r="D110" s="2">
        <v>518</v>
      </c>
    </row>
    <row r="111" spans="2:4" x14ac:dyDescent="0.25">
      <c r="B111" s="2">
        <v>2028</v>
      </c>
      <c r="C111" s="3">
        <v>10</v>
      </c>
      <c r="D111" s="2">
        <v>229</v>
      </c>
    </row>
    <row r="112" spans="2:4" x14ac:dyDescent="0.25">
      <c r="B112" s="2">
        <v>2028</v>
      </c>
      <c r="C112" s="3">
        <v>11</v>
      </c>
      <c r="D112" s="2">
        <v>101</v>
      </c>
    </row>
    <row r="113" spans="2:4" x14ac:dyDescent="0.25">
      <c r="B113" s="2">
        <v>2028</v>
      </c>
      <c r="C113" s="3">
        <v>12</v>
      </c>
      <c r="D113" s="2">
        <v>39</v>
      </c>
    </row>
    <row r="114" spans="2:4" x14ac:dyDescent="0.25">
      <c r="B114" s="2">
        <v>2028</v>
      </c>
      <c r="C114" s="3">
        <v>13</v>
      </c>
      <c r="D114" s="2">
        <v>10</v>
      </c>
    </row>
    <row r="115" spans="2:4" x14ac:dyDescent="0.25">
      <c r="B115" s="2">
        <v>2028</v>
      </c>
      <c r="C115" s="3">
        <v>14</v>
      </c>
      <c r="D115" s="2">
        <v>10</v>
      </c>
    </row>
    <row r="116" spans="2:4" x14ac:dyDescent="0.25">
      <c r="B116" s="2">
        <v>2028</v>
      </c>
      <c r="C116" s="3">
        <v>15</v>
      </c>
      <c r="D116" s="2">
        <v>1</v>
      </c>
    </row>
    <row r="117" spans="2:4" x14ac:dyDescent="0.25">
      <c r="B117" s="2">
        <v>2028</v>
      </c>
      <c r="C117" s="3">
        <v>16</v>
      </c>
      <c r="D117" s="2">
        <v>2</v>
      </c>
    </row>
    <row r="118" spans="2:4" x14ac:dyDescent="0.25">
      <c r="B118" s="2">
        <v>2029</v>
      </c>
      <c r="C118" s="3">
        <v>0</v>
      </c>
      <c r="D118" s="2">
        <v>343030</v>
      </c>
    </row>
    <row r="119" spans="2:4" x14ac:dyDescent="0.25">
      <c r="B119" s="2">
        <v>2029</v>
      </c>
      <c r="C119" s="3">
        <v>1</v>
      </c>
      <c r="D119" s="2">
        <v>135780</v>
      </c>
    </row>
    <row r="120" spans="2:4" x14ac:dyDescent="0.25">
      <c r="B120" s="2">
        <v>2029</v>
      </c>
      <c r="C120" s="3">
        <v>2</v>
      </c>
      <c r="D120" s="2">
        <v>66274</v>
      </c>
    </row>
    <row r="121" spans="2:4" x14ac:dyDescent="0.25">
      <c r="B121" s="2">
        <v>2029</v>
      </c>
      <c r="C121" s="3">
        <v>3</v>
      </c>
      <c r="D121" s="2">
        <v>36311</v>
      </c>
    </row>
    <row r="122" spans="2:4" x14ac:dyDescent="0.25">
      <c r="B122" s="2">
        <v>2029</v>
      </c>
      <c r="C122" s="3">
        <v>4</v>
      </c>
      <c r="D122" s="2">
        <v>19450</v>
      </c>
    </row>
    <row r="123" spans="2:4" x14ac:dyDescent="0.25">
      <c r="B123" s="2">
        <v>2029</v>
      </c>
      <c r="C123" s="3">
        <v>5</v>
      </c>
      <c r="D123" s="2">
        <v>9905</v>
      </c>
    </row>
    <row r="124" spans="2:4" x14ac:dyDescent="0.25">
      <c r="B124" s="2">
        <v>2029</v>
      </c>
      <c r="C124" s="3">
        <v>6</v>
      </c>
      <c r="D124" s="2">
        <v>4890</v>
      </c>
    </row>
    <row r="125" spans="2:4" x14ac:dyDescent="0.25">
      <c r="B125" s="2">
        <v>2029</v>
      </c>
      <c r="C125" s="3">
        <v>7</v>
      </c>
      <c r="D125" s="2">
        <v>2358</v>
      </c>
    </row>
    <row r="126" spans="2:4" x14ac:dyDescent="0.25">
      <c r="B126" s="2">
        <v>2029</v>
      </c>
      <c r="C126" s="3">
        <v>8</v>
      </c>
      <c r="D126" s="2">
        <v>1145</v>
      </c>
    </row>
    <row r="127" spans="2:4" x14ac:dyDescent="0.25">
      <c r="B127" s="2">
        <v>2029</v>
      </c>
      <c r="C127" s="3">
        <v>9</v>
      </c>
      <c r="D127" s="2">
        <v>523</v>
      </c>
    </row>
    <row r="128" spans="2:4" x14ac:dyDescent="0.25">
      <c r="B128" s="2">
        <v>2029</v>
      </c>
      <c r="C128" s="3">
        <v>10</v>
      </c>
      <c r="D128" s="2">
        <v>224</v>
      </c>
    </row>
    <row r="129" spans="2:4" x14ac:dyDescent="0.25">
      <c r="B129" s="2">
        <v>2029</v>
      </c>
      <c r="C129" s="3">
        <v>11</v>
      </c>
      <c r="D129" s="2">
        <v>109</v>
      </c>
    </row>
    <row r="130" spans="2:4" x14ac:dyDescent="0.25">
      <c r="B130" s="2">
        <v>2029</v>
      </c>
      <c r="C130" s="3">
        <v>12</v>
      </c>
      <c r="D130" s="2">
        <v>34</v>
      </c>
    </row>
    <row r="131" spans="2:4" x14ac:dyDescent="0.25">
      <c r="B131" s="2">
        <v>2029</v>
      </c>
      <c r="C131" s="3">
        <v>13</v>
      </c>
      <c r="D131" s="2">
        <v>13</v>
      </c>
    </row>
    <row r="132" spans="2:4" x14ac:dyDescent="0.25">
      <c r="B132" s="2">
        <v>2029</v>
      </c>
      <c r="C132" s="3">
        <v>14</v>
      </c>
      <c r="D132" s="2">
        <v>5</v>
      </c>
    </row>
    <row r="133" spans="2:4" x14ac:dyDescent="0.25">
      <c r="B133" s="2">
        <v>2029</v>
      </c>
      <c r="C133" s="3">
        <v>15</v>
      </c>
      <c r="D133" s="2">
        <v>1</v>
      </c>
    </row>
    <row r="134" spans="2:4" x14ac:dyDescent="0.25">
      <c r="B134" s="2">
        <v>2029</v>
      </c>
      <c r="C134" s="3">
        <v>17</v>
      </c>
      <c r="D134" s="2">
        <v>1</v>
      </c>
    </row>
    <row r="135" spans="2:4" x14ac:dyDescent="0.25">
      <c r="B135" s="2">
        <v>2030</v>
      </c>
      <c r="C135" s="3">
        <v>0</v>
      </c>
      <c r="D135" s="2">
        <v>343261</v>
      </c>
    </row>
    <row r="136" spans="2:4" x14ac:dyDescent="0.25">
      <c r="B136" s="2">
        <v>2030</v>
      </c>
      <c r="C136" s="3">
        <v>1</v>
      </c>
      <c r="D136" s="2">
        <v>137361</v>
      </c>
    </row>
    <row r="137" spans="2:4" x14ac:dyDescent="0.25">
      <c r="B137" s="2">
        <v>2030</v>
      </c>
      <c r="C137" s="3">
        <v>2</v>
      </c>
      <c r="D137" s="2">
        <v>67228</v>
      </c>
    </row>
    <row r="138" spans="2:4" x14ac:dyDescent="0.25">
      <c r="B138" s="2">
        <v>2030</v>
      </c>
      <c r="C138" s="3">
        <v>3</v>
      </c>
      <c r="D138" s="2">
        <v>36591</v>
      </c>
    </row>
    <row r="139" spans="2:4" x14ac:dyDescent="0.25">
      <c r="B139" s="2">
        <v>2030</v>
      </c>
      <c r="C139" s="3">
        <v>4</v>
      </c>
      <c r="D139" s="2">
        <v>19482</v>
      </c>
    </row>
    <row r="140" spans="2:4" x14ac:dyDescent="0.25">
      <c r="B140" s="2">
        <v>2030</v>
      </c>
      <c r="C140" s="3">
        <v>5</v>
      </c>
      <c r="D140" s="2">
        <v>10016</v>
      </c>
    </row>
    <row r="141" spans="2:4" x14ac:dyDescent="0.25">
      <c r="B141" s="2">
        <v>2030</v>
      </c>
      <c r="C141" s="3">
        <v>6</v>
      </c>
      <c r="D141" s="2">
        <v>4937</v>
      </c>
    </row>
    <row r="142" spans="2:4" x14ac:dyDescent="0.25">
      <c r="B142" s="2">
        <v>2030</v>
      </c>
      <c r="C142" s="3">
        <v>7</v>
      </c>
      <c r="D142" s="2">
        <v>2468</v>
      </c>
    </row>
    <row r="143" spans="2:4" x14ac:dyDescent="0.25">
      <c r="B143" s="2">
        <v>2030</v>
      </c>
      <c r="C143" s="3">
        <v>8</v>
      </c>
      <c r="D143" s="2">
        <v>1269</v>
      </c>
    </row>
    <row r="144" spans="2:4" x14ac:dyDescent="0.25">
      <c r="B144" s="2">
        <v>2030</v>
      </c>
      <c r="C144" s="3">
        <v>9</v>
      </c>
      <c r="D144" s="2">
        <v>538</v>
      </c>
    </row>
    <row r="145" spans="2:4" x14ac:dyDescent="0.25">
      <c r="B145" s="2">
        <v>2030</v>
      </c>
      <c r="C145" s="3">
        <v>10</v>
      </c>
      <c r="D145" s="2">
        <v>215</v>
      </c>
    </row>
    <row r="146" spans="2:4" x14ac:dyDescent="0.25">
      <c r="B146" s="2">
        <v>2030</v>
      </c>
      <c r="C146" s="3">
        <v>11</v>
      </c>
      <c r="D146" s="2">
        <v>81</v>
      </c>
    </row>
    <row r="147" spans="2:4" x14ac:dyDescent="0.25">
      <c r="B147" s="2">
        <v>2030</v>
      </c>
      <c r="C147" s="3">
        <v>12</v>
      </c>
      <c r="D147" s="2">
        <v>43</v>
      </c>
    </row>
    <row r="148" spans="2:4" x14ac:dyDescent="0.25">
      <c r="B148" s="2">
        <v>2030</v>
      </c>
      <c r="C148" s="3">
        <v>13</v>
      </c>
      <c r="D148" s="2">
        <v>11</v>
      </c>
    </row>
    <row r="149" spans="2:4" x14ac:dyDescent="0.25">
      <c r="B149" s="2">
        <v>2030</v>
      </c>
      <c r="C149" s="3">
        <v>14</v>
      </c>
      <c r="D149" s="2">
        <v>6</v>
      </c>
    </row>
    <row r="150" spans="2:4" x14ac:dyDescent="0.25">
      <c r="B150" s="2">
        <v>2030</v>
      </c>
      <c r="C150" s="3">
        <v>15</v>
      </c>
      <c r="D150" s="2">
        <v>1</v>
      </c>
    </row>
    <row r="151" spans="2:4" x14ac:dyDescent="0.25">
      <c r="B151" s="2">
        <v>2031</v>
      </c>
      <c r="C151" s="3">
        <v>0</v>
      </c>
      <c r="D151" s="2">
        <v>344075</v>
      </c>
    </row>
    <row r="152" spans="2:4" x14ac:dyDescent="0.25">
      <c r="B152" s="2">
        <v>2031</v>
      </c>
      <c r="C152" s="3">
        <v>1</v>
      </c>
      <c r="D152" s="2">
        <v>137793</v>
      </c>
    </row>
    <row r="153" spans="2:4" x14ac:dyDescent="0.25">
      <c r="B153" s="2">
        <v>2031</v>
      </c>
      <c r="C153" s="3">
        <v>2</v>
      </c>
      <c r="D153" s="2">
        <v>67861</v>
      </c>
    </row>
    <row r="154" spans="2:4" x14ac:dyDescent="0.25">
      <c r="B154" s="2">
        <v>2031</v>
      </c>
      <c r="C154" s="3">
        <v>3</v>
      </c>
      <c r="D154" s="2">
        <v>36981</v>
      </c>
    </row>
    <row r="155" spans="2:4" x14ac:dyDescent="0.25">
      <c r="B155" s="2">
        <v>2031</v>
      </c>
      <c r="C155" s="3">
        <v>4</v>
      </c>
      <c r="D155" s="2">
        <v>20097</v>
      </c>
    </row>
    <row r="156" spans="2:4" x14ac:dyDescent="0.25">
      <c r="B156" s="2">
        <v>2031</v>
      </c>
      <c r="C156" s="3">
        <v>5</v>
      </c>
      <c r="D156" s="2">
        <v>10287</v>
      </c>
    </row>
    <row r="157" spans="2:4" x14ac:dyDescent="0.25">
      <c r="B157" s="2">
        <v>2031</v>
      </c>
      <c r="C157" s="3">
        <v>6</v>
      </c>
      <c r="D157" s="2">
        <v>5095</v>
      </c>
    </row>
    <row r="158" spans="2:4" x14ac:dyDescent="0.25">
      <c r="B158" s="2">
        <v>2031</v>
      </c>
      <c r="C158" s="3">
        <v>7</v>
      </c>
      <c r="D158" s="2">
        <v>2541</v>
      </c>
    </row>
    <row r="159" spans="2:4" x14ac:dyDescent="0.25">
      <c r="B159" s="2">
        <v>2031</v>
      </c>
      <c r="C159" s="3">
        <v>8</v>
      </c>
      <c r="D159" s="2">
        <v>1174</v>
      </c>
    </row>
    <row r="160" spans="2:4" x14ac:dyDescent="0.25">
      <c r="B160" s="2">
        <v>2031</v>
      </c>
      <c r="C160" s="3">
        <v>9</v>
      </c>
      <c r="D160" s="2">
        <v>529</v>
      </c>
    </row>
    <row r="161" spans="2:4" x14ac:dyDescent="0.25">
      <c r="B161" s="2">
        <v>2031</v>
      </c>
      <c r="C161" s="3">
        <v>10</v>
      </c>
      <c r="D161" s="2">
        <v>241</v>
      </c>
    </row>
    <row r="162" spans="2:4" x14ac:dyDescent="0.25">
      <c r="B162" s="2">
        <v>2031</v>
      </c>
      <c r="C162" s="3">
        <v>11</v>
      </c>
      <c r="D162" s="2">
        <v>109</v>
      </c>
    </row>
    <row r="163" spans="2:4" x14ac:dyDescent="0.25">
      <c r="B163" s="2">
        <v>2031</v>
      </c>
      <c r="C163" s="3">
        <v>12</v>
      </c>
      <c r="D163" s="2">
        <v>45</v>
      </c>
    </row>
    <row r="164" spans="2:4" x14ac:dyDescent="0.25">
      <c r="B164" s="2">
        <v>2031</v>
      </c>
      <c r="C164" s="3">
        <v>13</v>
      </c>
      <c r="D164" s="2">
        <v>17</v>
      </c>
    </row>
    <row r="165" spans="2:4" x14ac:dyDescent="0.25">
      <c r="B165" s="2">
        <v>2031</v>
      </c>
      <c r="C165" s="3">
        <v>14</v>
      </c>
      <c r="D165" s="2">
        <v>7</v>
      </c>
    </row>
    <row r="166" spans="2:4" x14ac:dyDescent="0.25">
      <c r="B166" s="2">
        <v>2031</v>
      </c>
      <c r="C166" s="3">
        <v>15</v>
      </c>
      <c r="D166" s="2">
        <v>4</v>
      </c>
    </row>
    <row r="167" spans="2:4" x14ac:dyDescent="0.25">
      <c r="B167" s="2">
        <v>2032</v>
      </c>
      <c r="C167" s="3">
        <v>0</v>
      </c>
      <c r="D167" s="2">
        <v>344198</v>
      </c>
    </row>
    <row r="168" spans="2:4" x14ac:dyDescent="0.25">
      <c r="B168" s="2">
        <v>2032</v>
      </c>
      <c r="C168" s="3">
        <v>1</v>
      </c>
      <c r="D168" s="2">
        <v>138669</v>
      </c>
    </row>
    <row r="169" spans="2:4" x14ac:dyDescent="0.25">
      <c r="B169" s="2">
        <v>2032</v>
      </c>
      <c r="C169" s="3">
        <v>2</v>
      </c>
      <c r="D169" s="2">
        <v>68567</v>
      </c>
    </row>
    <row r="170" spans="2:4" x14ac:dyDescent="0.25">
      <c r="B170" s="2">
        <v>2032</v>
      </c>
      <c r="C170" s="3">
        <v>3</v>
      </c>
      <c r="D170" s="2">
        <v>37689</v>
      </c>
    </row>
    <row r="171" spans="2:4" x14ac:dyDescent="0.25">
      <c r="B171" s="2">
        <v>2032</v>
      </c>
      <c r="C171" s="3">
        <v>4</v>
      </c>
      <c r="D171" s="2">
        <v>20346</v>
      </c>
    </row>
    <row r="172" spans="2:4" x14ac:dyDescent="0.25">
      <c r="B172" s="2">
        <v>2032</v>
      </c>
      <c r="C172" s="3">
        <v>5</v>
      </c>
      <c r="D172" s="2">
        <v>10426</v>
      </c>
    </row>
    <row r="173" spans="2:4" x14ac:dyDescent="0.25">
      <c r="B173" s="2">
        <v>2032</v>
      </c>
      <c r="C173" s="3">
        <v>6</v>
      </c>
      <c r="D173" s="2">
        <v>5299</v>
      </c>
    </row>
    <row r="174" spans="2:4" x14ac:dyDescent="0.25">
      <c r="B174" s="2">
        <v>2032</v>
      </c>
      <c r="C174" s="3">
        <v>7</v>
      </c>
      <c r="D174" s="2">
        <v>2645</v>
      </c>
    </row>
    <row r="175" spans="2:4" x14ac:dyDescent="0.25">
      <c r="B175" s="2">
        <v>2032</v>
      </c>
      <c r="C175" s="3">
        <v>8</v>
      </c>
      <c r="D175" s="2">
        <v>1299</v>
      </c>
    </row>
    <row r="176" spans="2:4" x14ac:dyDescent="0.25">
      <c r="B176" s="2">
        <v>2032</v>
      </c>
      <c r="C176" s="3">
        <v>9</v>
      </c>
      <c r="D176" s="2">
        <v>572</v>
      </c>
    </row>
    <row r="177" spans="2:4" x14ac:dyDescent="0.25">
      <c r="B177" s="2">
        <v>2032</v>
      </c>
      <c r="C177" s="3">
        <v>10</v>
      </c>
      <c r="D177" s="2">
        <v>248</v>
      </c>
    </row>
    <row r="178" spans="2:4" x14ac:dyDescent="0.25">
      <c r="B178" s="2">
        <v>2032</v>
      </c>
      <c r="C178" s="3">
        <v>11</v>
      </c>
      <c r="D178" s="2">
        <v>92</v>
      </c>
    </row>
    <row r="179" spans="2:4" x14ac:dyDescent="0.25">
      <c r="B179" s="2">
        <v>2032</v>
      </c>
      <c r="C179" s="3">
        <v>12</v>
      </c>
      <c r="D179" s="2">
        <v>52</v>
      </c>
    </row>
    <row r="180" spans="2:4" x14ac:dyDescent="0.25">
      <c r="B180" s="2">
        <v>2032</v>
      </c>
      <c r="C180" s="3">
        <v>13</v>
      </c>
      <c r="D180" s="2">
        <v>18</v>
      </c>
    </row>
    <row r="181" spans="2:4" x14ac:dyDescent="0.25">
      <c r="B181" s="2">
        <v>2032</v>
      </c>
      <c r="C181" s="3">
        <v>14</v>
      </c>
      <c r="D181" s="2">
        <v>4</v>
      </c>
    </row>
    <row r="182" spans="2:4" x14ac:dyDescent="0.25">
      <c r="B182" s="2">
        <v>2032</v>
      </c>
      <c r="C182" s="3">
        <v>15</v>
      </c>
      <c r="D182" s="2">
        <v>4</v>
      </c>
    </row>
    <row r="183" spans="2:4" x14ac:dyDescent="0.25">
      <c r="B183" s="2">
        <v>2032</v>
      </c>
      <c r="C183" s="3">
        <v>17</v>
      </c>
      <c r="D183" s="2">
        <v>1</v>
      </c>
    </row>
    <row r="184" spans="2:4" x14ac:dyDescent="0.25">
      <c r="B184" s="2">
        <v>2033</v>
      </c>
      <c r="C184" s="3">
        <v>0</v>
      </c>
      <c r="D184" s="2">
        <v>344500</v>
      </c>
    </row>
    <row r="185" spans="2:4" x14ac:dyDescent="0.25">
      <c r="B185" s="2">
        <v>2033</v>
      </c>
      <c r="C185" s="3">
        <v>1</v>
      </c>
      <c r="D185" s="2">
        <v>139720</v>
      </c>
    </row>
    <row r="186" spans="2:4" x14ac:dyDescent="0.25">
      <c r="B186" s="2">
        <v>2033</v>
      </c>
      <c r="C186" s="3">
        <v>2</v>
      </c>
      <c r="D186" s="2">
        <v>69234</v>
      </c>
    </row>
    <row r="187" spans="2:4" x14ac:dyDescent="0.25">
      <c r="B187" s="2">
        <v>2033</v>
      </c>
      <c r="C187" s="3">
        <v>3</v>
      </c>
      <c r="D187" s="2">
        <v>38215</v>
      </c>
    </row>
    <row r="188" spans="2:4" x14ac:dyDescent="0.25">
      <c r="B188" s="2">
        <v>2033</v>
      </c>
      <c r="C188" s="3">
        <v>4</v>
      </c>
      <c r="D188" s="2">
        <v>20762</v>
      </c>
    </row>
    <row r="189" spans="2:4" x14ac:dyDescent="0.25">
      <c r="B189" s="2">
        <v>2033</v>
      </c>
      <c r="C189" s="3">
        <v>5</v>
      </c>
      <c r="D189" s="2">
        <v>10597</v>
      </c>
    </row>
    <row r="190" spans="2:4" x14ac:dyDescent="0.25">
      <c r="B190" s="2">
        <v>2033</v>
      </c>
      <c r="C190" s="3">
        <v>6</v>
      </c>
      <c r="D190" s="2">
        <v>5383</v>
      </c>
    </row>
    <row r="191" spans="2:4" x14ac:dyDescent="0.25">
      <c r="B191" s="2">
        <v>2033</v>
      </c>
      <c r="C191" s="3">
        <v>7</v>
      </c>
      <c r="D191" s="2">
        <v>2618</v>
      </c>
    </row>
    <row r="192" spans="2:4" x14ac:dyDescent="0.25">
      <c r="B192" s="2">
        <v>2033</v>
      </c>
      <c r="C192" s="3">
        <v>8</v>
      </c>
      <c r="D192" s="2">
        <v>1296</v>
      </c>
    </row>
    <row r="193" spans="2:4" x14ac:dyDescent="0.25">
      <c r="B193" s="2">
        <v>2033</v>
      </c>
      <c r="C193" s="3">
        <v>9</v>
      </c>
      <c r="D193" s="2">
        <v>556</v>
      </c>
    </row>
    <row r="194" spans="2:4" x14ac:dyDescent="0.25">
      <c r="B194" s="2">
        <v>2033</v>
      </c>
      <c r="C194" s="3">
        <v>10</v>
      </c>
      <c r="D194" s="2">
        <v>284</v>
      </c>
    </row>
    <row r="195" spans="2:4" x14ac:dyDescent="0.25">
      <c r="B195" s="2">
        <v>2033</v>
      </c>
      <c r="C195" s="3">
        <v>11</v>
      </c>
      <c r="D195" s="2">
        <v>96</v>
      </c>
    </row>
    <row r="196" spans="2:4" x14ac:dyDescent="0.25">
      <c r="B196" s="2">
        <v>2033</v>
      </c>
      <c r="C196" s="3">
        <v>12</v>
      </c>
      <c r="D196" s="2">
        <v>45</v>
      </c>
    </row>
    <row r="197" spans="2:4" x14ac:dyDescent="0.25">
      <c r="B197" s="2">
        <v>2033</v>
      </c>
      <c r="C197" s="3">
        <v>13</v>
      </c>
      <c r="D197" s="2">
        <v>20</v>
      </c>
    </row>
    <row r="198" spans="2:4" x14ac:dyDescent="0.25">
      <c r="B198" s="2">
        <v>2033</v>
      </c>
      <c r="C198" s="3">
        <v>14</v>
      </c>
      <c r="D198" s="2">
        <v>1</v>
      </c>
    </row>
    <row r="199" spans="2:4" x14ac:dyDescent="0.25">
      <c r="B199" s="2">
        <v>2033</v>
      </c>
      <c r="C199" s="3">
        <v>15</v>
      </c>
      <c r="D199" s="2">
        <v>1</v>
      </c>
    </row>
    <row r="200" spans="2:4" x14ac:dyDescent="0.25">
      <c r="B200" s="2">
        <v>2034</v>
      </c>
      <c r="C200" s="3">
        <v>0</v>
      </c>
      <c r="D200" s="2">
        <v>345658</v>
      </c>
    </row>
    <row r="201" spans="2:4" x14ac:dyDescent="0.25">
      <c r="B201" s="2">
        <v>2034</v>
      </c>
      <c r="C201" s="3">
        <v>1</v>
      </c>
      <c r="D201" s="2">
        <v>140147</v>
      </c>
    </row>
    <row r="202" spans="2:4" x14ac:dyDescent="0.25">
      <c r="B202" s="2">
        <v>2034</v>
      </c>
      <c r="C202" s="3">
        <v>2</v>
      </c>
      <c r="D202" s="2">
        <v>69497</v>
      </c>
    </row>
    <row r="203" spans="2:4" x14ac:dyDescent="0.25">
      <c r="B203" s="2">
        <v>2034</v>
      </c>
      <c r="C203" s="3">
        <v>3</v>
      </c>
      <c r="D203" s="2">
        <v>38645</v>
      </c>
    </row>
    <row r="204" spans="2:4" x14ac:dyDescent="0.25">
      <c r="B204" s="2">
        <v>2034</v>
      </c>
      <c r="C204" s="3">
        <v>4</v>
      </c>
      <c r="D204" s="2">
        <v>21121</v>
      </c>
    </row>
    <row r="205" spans="2:4" x14ac:dyDescent="0.25">
      <c r="B205" s="2">
        <v>2034</v>
      </c>
      <c r="C205" s="3">
        <v>5</v>
      </c>
      <c r="D205" s="2">
        <v>10879</v>
      </c>
    </row>
    <row r="206" spans="2:4" x14ac:dyDescent="0.25">
      <c r="B206" s="2">
        <v>2034</v>
      </c>
      <c r="C206" s="3">
        <v>6</v>
      </c>
      <c r="D206" s="2">
        <v>5404</v>
      </c>
    </row>
    <row r="207" spans="2:4" x14ac:dyDescent="0.25">
      <c r="B207" s="2">
        <v>2034</v>
      </c>
      <c r="C207" s="3">
        <v>7</v>
      </c>
      <c r="D207" s="2">
        <v>2793</v>
      </c>
    </row>
    <row r="208" spans="2:4" x14ac:dyDescent="0.25">
      <c r="B208" s="2">
        <v>2034</v>
      </c>
      <c r="C208" s="3">
        <v>8</v>
      </c>
      <c r="D208" s="2">
        <v>1276</v>
      </c>
    </row>
    <row r="209" spans="2:4" x14ac:dyDescent="0.25">
      <c r="B209" s="2">
        <v>2034</v>
      </c>
      <c r="C209" s="3">
        <v>9</v>
      </c>
      <c r="D209" s="2">
        <v>617</v>
      </c>
    </row>
    <row r="210" spans="2:4" x14ac:dyDescent="0.25">
      <c r="B210" s="2">
        <v>2034</v>
      </c>
      <c r="C210" s="3">
        <v>10</v>
      </c>
      <c r="D210" s="2">
        <v>274</v>
      </c>
    </row>
    <row r="211" spans="2:4" x14ac:dyDescent="0.25">
      <c r="B211" s="2">
        <v>2034</v>
      </c>
      <c r="C211" s="3">
        <v>11</v>
      </c>
      <c r="D211" s="2">
        <v>112</v>
      </c>
    </row>
    <row r="212" spans="2:4" x14ac:dyDescent="0.25">
      <c r="B212" s="2">
        <v>2034</v>
      </c>
      <c r="C212" s="3">
        <v>12</v>
      </c>
      <c r="D212" s="2">
        <v>54</v>
      </c>
    </row>
    <row r="213" spans="2:4" x14ac:dyDescent="0.25">
      <c r="B213" s="2">
        <v>2034</v>
      </c>
      <c r="C213" s="3">
        <v>13</v>
      </c>
      <c r="D213" s="2">
        <v>15</v>
      </c>
    </row>
    <row r="214" spans="2:4" x14ac:dyDescent="0.25">
      <c r="B214" s="2">
        <v>2034</v>
      </c>
      <c r="C214" s="3">
        <v>14</v>
      </c>
      <c r="D214" s="2">
        <v>5</v>
      </c>
    </row>
    <row r="215" spans="2:4" x14ac:dyDescent="0.25">
      <c r="B215" s="2">
        <v>2034</v>
      </c>
      <c r="C215" s="3">
        <v>15</v>
      </c>
      <c r="D215" s="2">
        <v>1</v>
      </c>
    </row>
    <row r="216" spans="2:4" x14ac:dyDescent="0.25">
      <c r="B216" s="2">
        <v>2034</v>
      </c>
      <c r="C216" s="3">
        <v>17</v>
      </c>
      <c r="D216" s="2">
        <v>1</v>
      </c>
    </row>
    <row r="217" spans="2:4" x14ac:dyDescent="0.25">
      <c r="B217" s="2">
        <v>2035</v>
      </c>
      <c r="C217" s="3">
        <v>0</v>
      </c>
      <c r="D217" s="2">
        <v>345474</v>
      </c>
    </row>
    <row r="218" spans="2:4" x14ac:dyDescent="0.25">
      <c r="B218" s="2">
        <v>2035</v>
      </c>
      <c r="C218" s="3">
        <v>1</v>
      </c>
      <c r="D218" s="2">
        <v>141573</v>
      </c>
    </row>
    <row r="219" spans="2:4" x14ac:dyDescent="0.25">
      <c r="B219" s="2">
        <v>2035</v>
      </c>
      <c r="C219" s="3">
        <v>2</v>
      </c>
      <c r="D219" s="2">
        <v>70746</v>
      </c>
    </row>
    <row r="220" spans="2:4" x14ac:dyDescent="0.25">
      <c r="B220" s="2">
        <v>2035</v>
      </c>
      <c r="C220" s="3">
        <v>3</v>
      </c>
      <c r="D220" s="2">
        <v>39210</v>
      </c>
    </row>
    <row r="221" spans="2:4" x14ac:dyDescent="0.25">
      <c r="B221" s="2">
        <v>2035</v>
      </c>
      <c r="C221" s="3">
        <v>4</v>
      </c>
      <c r="D221" s="2">
        <v>20942</v>
      </c>
    </row>
    <row r="222" spans="2:4" x14ac:dyDescent="0.25">
      <c r="B222" s="2">
        <v>2035</v>
      </c>
      <c r="C222" s="3">
        <v>5</v>
      </c>
      <c r="D222" s="2">
        <v>10937</v>
      </c>
    </row>
    <row r="223" spans="2:4" x14ac:dyDescent="0.25">
      <c r="B223" s="2">
        <v>2035</v>
      </c>
      <c r="C223" s="3">
        <v>6</v>
      </c>
      <c r="D223" s="2">
        <v>5533</v>
      </c>
    </row>
    <row r="224" spans="2:4" x14ac:dyDescent="0.25">
      <c r="B224" s="2">
        <v>2035</v>
      </c>
      <c r="C224" s="3">
        <v>7</v>
      </c>
      <c r="D224" s="2">
        <v>2734</v>
      </c>
    </row>
    <row r="225" spans="2:4" x14ac:dyDescent="0.25">
      <c r="B225" s="2">
        <v>2035</v>
      </c>
      <c r="C225" s="3">
        <v>8</v>
      </c>
      <c r="D225" s="2">
        <v>1356</v>
      </c>
    </row>
    <row r="226" spans="2:4" x14ac:dyDescent="0.25">
      <c r="B226" s="2">
        <v>2035</v>
      </c>
      <c r="C226" s="3">
        <v>9</v>
      </c>
      <c r="D226" s="2">
        <v>586</v>
      </c>
    </row>
    <row r="227" spans="2:4" x14ac:dyDescent="0.25">
      <c r="B227" s="2">
        <v>2035</v>
      </c>
      <c r="C227" s="3">
        <v>10</v>
      </c>
      <c r="D227" s="2">
        <v>275</v>
      </c>
    </row>
    <row r="228" spans="2:4" x14ac:dyDescent="0.25">
      <c r="B228" s="2">
        <v>2035</v>
      </c>
      <c r="C228" s="3">
        <v>11</v>
      </c>
      <c r="D228" s="2">
        <v>112</v>
      </c>
    </row>
    <row r="229" spans="2:4" x14ac:dyDescent="0.25">
      <c r="B229" s="2">
        <v>2035</v>
      </c>
      <c r="C229" s="3">
        <v>12</v>
      </c>
      <c r="D229" s="2">
        <v>41</v>
      </c>
    </row>
    <row r="230" spans="2:4" x14ac:dyDescent="0.25">
      <c r="B230" s="2">
        <v>2035</v>
      </c>
      <c r="C230" s="3">
        <v>13</v>
      </c>
      <c r="D230" s="2">
        <v>18</v>
      </c>
    </row>
    <row r="231" spans="2:4" x14ac:dyDescent="0.25">
      <c r="B231" s="2">
        <v>2035</v>
      </c>
      <c r="C231" s="3">
        <v>14</v>
      </c>
      <c r="D231" s="2">
        <v>4</v>
      </c>
    </row>
    <row r="232" spans="2:4" x14ac:dyDescent="0.25">
      <c r="B232" s="2">
        <v>2035</v>
      </c>
      <c r="C232" s="3">
        <v>15</v>
      </c>
      <c r="D232" s="2">
        <v>5</v>
      </c>
    </row>
    <row r="233" spans="2:4" x14ac:dyDescent="0.25">
      <c r="B233" s="2">
        <v>2035</v>
      </c>
      <c r="C233" s="3">
        <v>16</v>
      </c>
      <c r="D233" s="2">
        <v>2</v>
      </c>
    </row>
    <row r="234" spans="2:4" x14ac:dyDescent="0.25">
      <c r="B234" s="2">
        <v>2036</v>
      </c>
      <c r="C234" s="3">
        <v>0</v>
      </c>
      <c r="D234" s="2">
        <v>346459</v>
      </c>
    </row>
    <row r="235" spans="2:4" x14ac:dyDescent="0.25">
      <c r="B235" s="2">
        <v>2036</v>
      </c>
      <c r="C235" s="3">
        <v>1</v>
      </c>
      <c r="D235" s="2">
        <v>142018</v>
      </c>
    </row>
    <row r="236" spans="2:4" x14ac:dyDescent="0.25">
      <c r="B236" s="2">
        <v>2036</v>
      </c>
      <c r="C236" s="3">
        <v>2</v>
      </c>
      <c r="D236" s="2">
        <v>71282</v>
      </c>
    </row>
    <row r="237" spans="2:4" x14ac:dyDescent="0.25">
      <c r="B237" s="2">
        <v>2036</v>
      </c>
      <c r="C237" s="3">
        <v>3</v>
      </c>
      <c r="D237" s="2">
        <v>39289</v>
      </c>
    </row>
    <row r="238" spans="2:4" x14ac:dyDescent="0.25">
      <c r="B238" s="2">
        <v>2036</v>
      </c>
      <c r="C238" s="3">
        <v>4</v>
      </c>
      <c r="D238" s="2">
        <v>21588</v>
      </c>
    </row>
    <row r="239" spans="2:4" x14ac:dyDescent="0.25">
      <c r="B239" s="2">
        <v>2036</v>
      </c>
      <c r="C239" s="3">
        <v>5</v>
      </c>
      <c r="D239" s="2">
        <v>11011</v>
      </c>
    </row>
    <row r="240" spans="2:4" x14ac:dyDescent="0.25">
      <c r="B240" s="2">
        <v>2036</v>
      </c>
      <c r="C240" s="3">
        <v>6</v>
      </c>
      <c r="D240" s="2">
        <v>5667</v>
      </c>
    </row>
    <row r="241" spans="2:4" x14ac:dyDescent="0.25">
      <c r="B241" s="2">
        <v>2036</v>
      </c>
      <c r="C241" s="3">
        <v>7</v>
      </c>
      <c r="D241" s="2">
        <v>2831</v>
      </c>
    </row>
    <row r="242" spans="2:4" x14ac:dyDescent="0.25">
      <c r="B242" s="2">
        <v>2036</v>
      </c>
      <c r="C242" s="3">
        <v>8</v>
      </c>
      <c r="D242" s="2">
        <v>1322</v>
      </c>
    </row>
    <row r="243" spans="2:4" x14ac:dyDescent="0.25">
      <c r="B243" s="2">
        <v>2036</v>
      </c>
      <c r="C243" s="3">
        <v>9</v>
      </c>
      <c r="D243" s="2">
        <v>618</v>
      </c>
    </row>
    <row r="244" spans="2:4" x14ac:dyDescent="0.25">
      <c r="B244" s="2">
        <v>2036</v>
      </c>
      <c r="C244" s="3">
        <v>10</v>
      </c>
      <c r="D244" s="2">
        <v>274</v>
      </c>
    </row>
    <row r="245" spans="2:4" x14ac:dyDescent="0.25">
      <c r="B245" s="2">
        <v>2036</v>
      </c>
      <c r="C245" s="3">
        <v>11</v>
      </c>
      <c r="D245" s="2">
        <v>102</v>
      </c>
    </row>
    <row r="246" spans="2:4" x14ac:dyDescent="0.25">
      <c r="B246" s="2">
        <v>2036</v>
      </c>
      <c r="C246" s="3">
        <v>12</v>
      </c>
      <c r="D246" s="2">
        <v>53</v>
      </c>
    </row>
    <row r="247" spans="2:4" x14ac:dyDescent="0.25">
      <c r="B247" s="2">
        <v>2036</v>
      </c>
      <c r="C247" s="3">
        <v>13</v>
      </c>
      <c r="D247" s="2">
        <v>16</v>
      </c>
    </row>
    <row r="248" spans="2:4" x14ac:dyDescent="0.25">
      <c r="B248" s="2">
        <v>2036</v>
      </c>
      <c r="C248" s="3">
        <v>14</v>
      </c>
      <c r="D248" s="2">
        <v>5</v>
      </c>
    </row>
    <row r="249" spans="2:4" x14ac:dyDescent="0.25">
      <c r="B249" s="2">
        <v>2036</v>
      </c>
      <c r="C249" s="3">
        <v>15</v>
      </c>
      <c r="D249" s="2">
        <v>1</v>
      </c>
    </row>
    <row r="250" spans="2:4" x14ac:dyDescent="0.25">
      <c r="B250" s="2">
        <v>2036</v>
      </c>
      <c r="C250" s="3">
        <v>16</v>
      </c>
      <c r="D250" s="2">
        <v>1</v>
      </c>
    </row>
    <row r="251" spans="2:4" x14ac:dyDescent="0.25">
      <c r="B251" s="2">
        <v>2037</v>
      </c>
      <c r="C251" s="3">
        <v>0</v>
      </c>
      <c r="D251" s="2">
        <v>346908</v>
      </c>
    </row>
    <row r="252" spans="2:4" x14ac:dyDescent="0.25">
      <c r="B252" s="2">
        <v>2037</v>
      </c>
      <c r="C252" s="3">
        <v>1</v>
      </c>
      <c r="D252" s="2">
        <v>142615</v>
      </c>
    </row>
    <row r="253" spans="2:4" x14ac:dyDescent="0.25">
      <c r="B253" s="2">
        <v>2037</v>
      </c>
      <c r="C253" s="3">
        <v>2</v>
      </c>
      <c r="D253" s="2">
        <v>72038</v>
      </c>
    </row>
    <row r="254" spans="2:4" x14ac:dyDescent="0.25">
      <c r="B254" s="2">
        <v>2037</v>
      </c>
      <c r="C254" s="3">
        <v>3</v>
      </c>
      <c r="D254" s="2">
        <v>40061</v>
      </c>
    </row>
    <row r="255" spans="2:4" x14ac:dyDescent="0.25">
      <c r="B255" s="2">
        <v>2037</v>
      </c>
      <c r="C255" s="3">
        <v>4</v>
      </c>
      <c r="D255" s="2">
        <v>21612</v>
      </c>
    </row>
    <row r="256" spans="2:4" x14ac:dyDescent="0.25">
      <c r="B256" s="2">
        <v>2037</v>
      </c>
      <c r="C256" s="3">
        <v>5</v>
      </c>
      <c r="D256" s="2">
        <v>11277</v>
      </c>
    </row>
    <row r="257" spans="2:4" x14ac:dyDescent="0.25">
      <c r="B257" s="2">
        <v>2037</v>
      </c>
      <c r="C257" s="3">
        <v>6</v>
      </c>
      <c r="D257" s="2">
        <v>5602</v>
      </c>
    </row>
    <row r="258" spans="2:4" x14ac:dyDescent="0.25">
      <c r="B258" s="2">
        <v>2037</v>
      </c>
      <c r="C258" s="3">
        <v>7</v>
      </c>
      <c r="D258" s="2">
        <v>2907</v>
      </c>
    </row>
    <row r="259" spans="2:4" x14ac:dyDescent="0.25">
      <c r="B259" s="2">
        <v>2037</v>
      </c>
      <c r="C259" s="3">
        <v>8</v>
      </c>
      <c r="D259" s="2">
        <v>1375</v>
      </c>
    </row>
    <row r="260" spans="2:4" x14ac:dyDescent="0.25">
      <c r="B260" s="2">
        <v>2037</v>
      </c>
      <c r="C260" s="3">
        <v>9</v>
      </c>
      <c r="D260" s="2">
        <v>644</v>
      </c>
    </row>
    <row r="261" spans="2:4" x14ac:dyDescent="0.25">
      <c r="B261" s="2">
        <v>2037</v>
      </c>
      <c r="C261" s="3">
        <v>10</v>
      </c>
      <c r="D261" s="2">
        <v>272</v>
      </c>
    </row>
    <row r="262" spans="2:4" x14ac:dyDescent="0.25">
      <c r="B262" s="2">
        <v>2037</v>
      </c>
      <c r="C262" s="3">
        <v>11</v>
      </c>
      <c r="D262" s="2">
        <v>105</v>
      </c>
    </row>
    <row r="263" spans="2:4" x14ac:dyDescent="0.25">
      <c r="B263" s="2">
        <v>2037</v>
      </c>
      <c r="C263" s="3">
        <v>12</v>
      </c>
      <c r="D263" s="2">
        <v>33</v>
      </c>
    </row>
    <row r="264" spans="2:4" x14ac:dyDescent="0.25">
      <c r="B264" s="2">
        <v>2037</v>
      </c>
      <c r="C264" s="3">
        <v>13</v>
      </c>
      <c r="D264" s="2">
        <v>20</v>
      </c>
    </row>
    <row r="265" spans="2:4" x14ac:dyDescent="0.25">
      <c r="B265" s="2">
        <v>2037</v>
      </c>
      <c r="C265" s="3">
        <v>14</v>
      </c>
      <c r="D265" s="2">
        <v>11</v>
      </c>
    </row>
    <row r="266" spans="2:4" x14ac:dyDescent="0.25">
      <c r="B266" s="2">
        <v>2037</v>
      </c>
      <c r="C266" s="3">
        <v>15</v>
      </c>
      <c r="D266" s="2">
        <v>2</v>
      </c>
    </row>
    <row r="267" spans="2:4" x14ac:dyDescent="0.25">
      <c r="B267" s="2">
        <v>2037</v>
      </c>
      <c r="C267" s="3">
        <v>16</v>
      </c>
      <c r="D267" s="2">
        <v>2</v>
      </c>
    </row>
    <row r="268" spans="2:4" x14ac:dyDescent="0.25">
      <c r="B268" s="2">
        <v>2038</v>
      </c>
      <c r="C268" s="3">
        <v>0</v>
      </c>
      <c r="D268" s="2">
        <v>347090</v>
      </c>
    </row>
    <row r="269" spans="2:4" x14ac:dyDescent="0.25">
      <c r="B269" s="2">
        <v>2038</v>
      </c>
      <c r="C269" s="3">
        <v>1</v>
      </c>
      <c r="D269" s="2">
        <v>143522</v>
      </c>
    </row>
    <row r="270" spans="2:4" x14ac:dyDescent="0.25">
      <c r="B270" s="2">
        <v>2038</v>
      </c>
      <c r="C270" s="3">
        <v>2</v>
      </c>
      <c r="D270" s="2">
        <v>72629</v>
      </c>
    </row>
    <row r="271" spans="2:4" x14ac:dyDescent="0.25">
      <c r="B271" s="2">
        <v>2038</v>
      </c>
      <c r="C271" s="3">
        <v>3</v>
      </c>
      <c r="D271" s="2">
        <v>40632</v>
      </c>
    </row>
    <row r="272" spans="2:4" x14ac:dyDescent="0.25">
      <c r="B272" s="2">
        <v>2038</v>
      </c>
      <c r="C272" s="3">
        <v>4</v>
      </c>
      <c r="D272" s="2">
        <v>21856</v>
      </c>
    </row>
    <row r="273" spans="2:4" x14ac:dyDescent="0.25">
      <c r="B273" s="2">
        <v>2038</v>
      </c>
      <c r="C273" s="3">
        <v>5</v>
      </c>
      <c r="D273" s="2">
        <v>11354</v>
      </c>
    </row>
    <row r="274" spans="2:4" x14ac:dyDescent="0.25">
      <c r="B274" s="2">
        <v>2038</v>
      </c>
      <c r="C274" s="3">
        <v>6</v>
      </c>
      <c r="D274" s="2">
        <v>5828</v>
      </c>
    </row>
    <row r="275" spans="2:4" x14ac:dyDescent="0.25">
      <c r="B275" s="2">
        <v>2038</v>
      </c>
      <c r="C275" s="3">
        <v>7</v>
      </c>
      <c r="D275" s="2">
        <v>2935</v>
      </c>
    </row>
    <row r="276" spans="2:4" x14ac:dyDescent="0.25">
      <c r="B276" s="2">
        <v>2038</v>
      </c>
      <c r="C276" s="3">
        <v>8</v>
      </c>
      <c r="D276" s="2">
        <v>1396</v>
      </c>
    </row>
    <row r="277" spans="2:4" x14ac:dyDescent="0.25">
      <c r="B277" s="2">
        <v>2038</v>
      </c>
      <c r="C277" s="3">
        <v>9</v>
      </c>
      <c r="D277" s="2">
        <v>692</v>
      </c>
    </row>
    <row r="278" spans="2:4" x14ac:dyDescent="0.25">
      <c r="B278" s="2">
        <v>2038</v>
      </c>
      <c r="C278" s="3">
        <v>10</v>
      </c>
      <c r="D278" s="2">
        <v>274</v>
      </c>
    </row>
    <row r="279" spans="2:4" x14ac:dyDescent="0.25">
      <c r="B279" s="2">
        <v>2038</v>
      </c>
      <c r="C279" s="3">
        <v>11</v>
      </c>
      <c r="D279" s="2">
        <v>123</v>
      </c>
    </row>
    <row r="280" spans="2:4" x14ac:dyDescent="0.25">
      <c r="B280" s="2">
        <v>2038</v>
      </c>
      <c r="C280" s="3">
        <v>12</v>
      </c>
      <c r="D280" s="2">
        <v>58</v>
      </c>
    </row>
    <row r="281" spans="2:4" x14ac:dyDescent="0.25">
      <c r="B281" s="2">
        <v>2038</v>
      </c>
      <c r="C281" s="3">
        <v>13</v>
      </c>
      <c r="D281" s="2">
        <v>24</v>
      </c>
    </row>
    <row r="282" spans="2:4" x14ac:dyDescent="0.25">
      <c r="B282" s="2">
        <v>2038</v>
      </c>
      <c r="C282" s="3">
        <v>14</v>
      </c>
      <c r="D282" s="2">
        <v>4</v>
      </c>
    </row>
    <row r="283" spans="2:4" x14ac:dyDescent="0.25">
      <c r="B283" s="2">
        <v>2039</v>
      </c>
      <c r="C283" s="3">
        <v>0</v>
      </c>
      <c r="D283" s="2">
        <v>347846</v>
      </c>
    </row>
    <row r="284" spans="2:4" x14ac:dyDescent="0.25">
      <c r="B284" s="2">
        <v>2039</v>
      </c>
      <c r="C284" s="3">
        <v>1</v>
      </c>
      <c r="D284" s="2">
        <v>144812</v>
      </c>
    </row>
    <row r="285" spans="2:4" x14ac:dyDescent="0.25">
      <c r="B285" s="2">
        <v>2039</v>
      </c>
      <c r="C285" s="3">
        <v>2</v>
      </c>
      <c r="D285" s="2">
        <v>72844</v>
      </c>
    </row>
    <row r="286" spans="2:4" x14ac:dyDescent="0.25">
      <c r="B286" s="2">
        <v>2039</v>
      </c>
      <c r="C286" s="3">
        <v>3</v>
      </c>
      <c r="D286" s="2">
        <v>40956</v>
      </c>
    </row>
    <row r="287" spans="2:4" x14ac:dyDescent="0.25">
      <c r="B287" s="2">
        <v>2039</v>
      </c>
      <c r="C287" s="3">
        <v>4</v>
      </c>
      <c r="D287" s="2">
        <v>22049</v>
      </c>
    </row>
    <row r="288" spans="2:4" x14ac:dyDescent="0.25">
      <c r="B288" s="2">
        <v>2039</v>
      </c>
      <c r="C288" s="3">
        <v>5</v>
      </c>
      <c r="D288" s="2">
        <v>11572</v>
      </c>
    </row>
    <row r="289" spans="2:4" x14ac:dyDescent="0.25">
      <c r="B289" s="2">
        <v>2039</v>
      </c>
      <c r="C289" s="3">
        <v>6</v>
      </c>
      <c r="D289" s="2">
        <v>5903</v>
      </c>
    </row>
    <row r="290" spans="2:4" x14ac:dyDescent="0.25">
      <c r="B290" s="2">
        <v>2039</v>
      </c>
      <c r="C290" s="3">
        <v>7</v>
      </c>
      <c r="D290" s="2">
        <v>2826</v>
      </c>
    </row>
    <row r="291" spans="2:4" x14ac:dyDescent="0.25">
      <c r="B291" s="2">
        <v>2039</v>
      </c>
      <c r="C291" s="3">
        <v>8</v>
      </c>
      <c r="D291" s="2">
        <v>1422</v>
      </c>
    </row>
    <row r="292" spans="2:4" x14ac:dyDescent="0.25">
      <c r="B292" s="2">
        <v>2039</v>
      </c>
      <c r="C292" s="3">
        <v>9</v>
      </c>
      <c r="D292" s="2">
        <v>619</v>
      </c>
    </row>
    <row r="293" spans="2:4" x14ac:dyDescent="0.25">
      <c r="B293" s="2">
        <v>2039</v>
      </c>
      <c r="C293" s="3">
        <v>10</v>
      </c>
      <c r="D293" s="2">
        <v>271</v>
      </c>
    </row>
    <row r="294" spans="2:4" x14ac:dyDescent="0.25">
      <c r="B294" s="2">
        <v>2039</v>
      </c>
      <c r="C294" s="3">
        <v>11</v>
      </c>
      <c r="D294" s="2">
        <v>105</v>
      </c>
    </row>
    <row r="295" spans="2:4" x14ac:dyDescent="0.25">
      <c r="B295" s="2">
        <v>2039</v>
      </c>
      <c r="C295" s="3">
        <v>12</v>
      </c>
      <c r="D295" s="2">
        <v>52</v>
      </c>
    </row>
    <row r="296" spans="2:4" x14ac:dyDescent="0.25">
      <c r="B296" s="2">
        <v>2039</v>
      </c>
      <c r="C296" s="3">
        <v>13</v>
      </c>
      <c r="D296" s="2">
        <v>24</v>
      </c>
    </row>
    <row r="297" spans="2:4" x14ac:dyDescent="0.25">
      <c r="B297" s="2">
        <v>2039</v>
      </c>
      <c r="C297" s="3">
        <v>14</v>
      </c>
      <c r="D297" s="2">
        <v>8</v>
      </c>
    </row>
    <row r="298" spans="2:4" x14ac:dyDescent="0.25">
      <c r="B298" s="2">
        <v>2039</v>
      </c>
      <c r="C298" s="3">
        <v>15</v>
      </c>
      <c r="D298" s="2">
        <v>2</v>
      </c>
    </row>
    <row r="299" spans="2:4" x14ac:dyDescent="0.25">
      <c r="B299" s="2">
        <v>2039</v>
      </c>
      <c r="C299" s="3">
        <v>16</v>
      </c>
      <c r="D299" s="2">
        <v>3</v>
      </c>
    </row>
    <row r="300" spans="2:4" x14ac:dyDescent="0.25">
      <c r="B300" s="2">
        <v>2039</v>
      </c>
      <c r="C300" s="3">
        <v>17</v>
      </c>
      <c r="D300" s="2">
        <v>1</v>
      </c>
    </row>
    <row r="301" spans="2:4" x14ac:dyDescent="0.25">
      <c r="B301" s="2">
        <v>2039</v>
      </c>
      <c r="C301" s="3">
        <v>18</v>
      </c>
      <c r="D301" s="2">
        <v>2</v>
      </c>
    </row>
    <row r="302" spans="2:4" x14ac:dyDescent="0.25">
      <c r="B302" s="2">
        <v>2040</v>
      </c>
      <c r="C302" s="3">
        <v>0</v>
      </c>
      <c r="D302" s="2">
        <v>348198</v>
      </c>
    </row>
    <row r="303" spans="2:4" x14ac:dyDescent="0.25">
      <c r="B303" s="2">
        <v>2040</v>
      </c>
      <c r="C303" s="3">
        <v>1</v>
      </c>
      <c r="D303" s="2">
        <v>145735</v>
      </c>
    </row>
    <row r="304" spans="2:4" x14ac:dyDescent="0.25">
      <c r="B304" s="2">
        <v>2040</v>
      </c>
      <c r="C304" s="3">
        <v>2</v>
      </c>
      <c r="D304" s="2">
        <v>72994</v>
      </c>
    </row>
    <row r="305" spans="2:4" x14ac:dyDescent="0.25">
      <c r="B305" s="2">
        <v>2040</v>
      </c>
      <c r="C305" s="3">
        <v>3</v>
      </c>
      <c r="D305" s="2">
        <v>41248</v>
      </c>
    </row>
    <row r="306" spans="2:4" x14ac:dyDescent="0.25">
      <c r="B306" s="2">
        <v>2040</v>
      </c>
      <c r="C306" s="3">
        <v>4</v>
      </c>
      <c r="D306" s="2">
        <v>22681</v>
      </c>
    </row>
    <row r="307" spans="2:4" x14ac:dyDescent="0.25">
      <c r="B307" s="2">
        <v>2040</v>
      </c>
      <c r="C307" s="3">
        <v>5</v>
      </c>
      <c r="D307" s="2">
        <v>11833</v>
      </c>
    </row>
    <row r="308" spans="2:4" x14ac:dyDescent="0.25">
      <c r="B308" s="2">
        <v>2040</v>
      </c>
      <c r="C308" s="3">
        <v>6</v>
      </c>
      <c r="D308" s="2">
        <v>5965</v>
      </c>
    </row>
    <row r="309" spans="2:4" x14ac:dyDescent="0.25">
      <c r="B309" s="2">
        <v>2040</v>
      </c>
      <c r="C309" s="3">
        <v>7</v>
      </c>
      <c r="D309" s="2">
        <v>3000</v>
      </c>
    </row>
    <row r="310" spans="2:4" x14ac:dyDescent="0.25">
      <c r="B310" s="2">
        <v>2040</v>
      </c>
      <c r="C310" s="3">
        <v>8</v>
      </c>
      <c r="D310" s="2">
        <v>1461</v>
      </c>
    </row>
    <row r="311" spans="2:4" x14ac:dyDescent="0.25">
      <c r="B311" s="2">
        <v>2040</v>
      </c>
      <c r="C311" s="3">
        <v>9</v>
      </c>
      <c r="D311" s="2">
        <v>651</v>
      </c>
    </row>
    <row r="312" spans="2:4" x14ac:dyDescent="0.25">
      <c r="B312" s="2">
        <v>2040</v>
      </c>
      <c r="C312" s="3">
        <v>10</v>
      </c>
      <c r="D312" s="2">
        <v>274</v>
      </c>
    </row>
    <row r="313" spans="2:4" x14ac:dyDescent="0.25">
      <c r="B313" s="2">
        <v>2040</v>
      </c>
      <c r="C313" s="3">
        <v>11</v>
      </c>
      <c r="D313" s="2">
        <v>139</v>
      </c>
    </row>
    <row r="314" spans="2:4" x14ac:dyDescent="0.25">
      <c r="B314" s="2">
        <v>2040</v>
      </c>
      <c r="C314" s="3">
        <v>12</v>
      </c>
      <c r="D314" s="2">
        <v>46</v>
      </c>
    </row>
    <row r="315" spans="2:4" x14ac:dyDescent="0.25">
      <c r="B315" s="2">
        <v>2040</v>
      </c>
      <c r="C315" s="3">
        <v>13</v>
      </c>
      <c r="D315" s="2">
        <v>19</v>
      </c>
    </row>
    <row r="316" spans="2:4" x14ac:dyDescent="0.25">
      <c r="B316" s="2">
        <v>2040</v>
      </c>
      <c r="C316" s="3">
        <v>14</v>
      </c>
      <c r="D316" s="2">
        <v>3</v>
      </c>
    </row>
    <row r="317" spans="2:4" x14ac:dyDescent="0.25">
      <c r="B317" s="2">
        <v>2040</v>
      </c>
      <c r="C317" s="3">
        <v>15</v>
      </c>
      <c r="D317" s="2">
        <v>1</v>
      </c>
    </row>
    <row r="318" spans="2:4" x14ac:dyDescent="0.25">
      <c r="B318" s="2">
        <v>2040</v>
      </c>
      <c r="C318" s="3">
        <v>16</v>
      </c>
      <c r="D318" s="2">
        <v>1</v>
      </c>
    </row>
    <row r="319" spans="2:4" x14ac:dyDescent="0.25">
      <c r="B319" s="2">
        <v>2041</v>
      </c>
      <c r="C319" s="3">
        <v>0</v>
      </c>
      <c r="D319" s="2">
        <v>349226</v>
      </c>
    </row>
    <row r="320" spans="2:4" x14ac:dyDescent="0.25">
      <c r="B320" s="2">
        <v>2041</v>
      </c>
      <c r="C320" s="3">
        <v>1</v>
      </c>
      <c r="D320" s="2">
        <v>146470</v>
      </c>
    </row>
    <row r="321" spans="2:4" x14ac:dyDescent="0.25">
      <c r="B321" s="2">
        <v>2041</v>
      </c>
      <c r="C321" s="3">
        <v>2</v>
      </c>
      <c r="D321" s="2">
        <v>74101</v>
      </c>
    </row>
    <row r="322" spans="2:4" x14ac:dyDescent="0.25">
      <c r="B322" s="2">
        <v>2041</v>
      </c>
      <c r="C322" s="3">
        <v>3</v>
      </c>
      <c r="D322" s="2">
        <v>41377</v>
      </c>
    </row>
    <row r="323" spans="2:4" x14ac:dyDescent="0.25">
      <c r="B323" s="2">
        <v>2041</v>
      </c>
      <c r="C323" s="3">
        <v>4</v>
      </c>
      <c r="D323" s="2">
        <v>22402</v>
      </c>
    </row>
    <row r="324" spans="2:4" x14ac:dyDescent="0.25">
      <c r="B324" s="2">
        <v>2041</v>
      </c>
      <c r="C324" s="3">
        <v>5</v>
      </c>
      <c r="D324" s="2">
        <v>11949</v>
      </c>
    </row>
    <row r="325" spans="2:4" x14ac:dyDescent="0.25">
      <c r="B325" s="2">
        <v>2041</v>
      </c>
      <c r="C325" s="3">
        <v>6</v>
      </c>
      <c r="D325" s="2">
        <v>6076</v>
      </c>
    </row>
    <row r="326" spans="2:4" x14ac:dyDescent="0.25">
      <c r="B326" s="2">
        <v>2041</v>
      </c>
      <c r="C326" s="3">
        <v>7</v>
      </c>
      <c r="D326" s="2">
        <v>2985</v>
      </c>
    </row>
    <row r="327" spans="2:4" x14ac:dyDescent="0.25">
      <c r="B327" s="2">
        <v>2041</v>
      </c>
      <c r="C327" s="3">
        <v>8</v>
      </c>
      <c r="D327" s="2">
        <v>1438</v>
      </c>
    </row>
    <row r="328" spans="2:4" x14ac:dyDescent="0.25">
      <c r="B328" s="2">
        <v>2041</v>
      </c>
      <c r="C328" s="3">
        <v>9</v>
      </c>
      <c r="D328" s="2">
        <v>668</v>
      </c>
    </row>
    <row r="329" spans="2:4" x14ac:dyDescent="0.25">
      <c r="B329" s="2">
        <v>2041</v>
      </c>
      <c r="C329" s="3">
        <v>10</v>
      </c>
      <c r="D329" s="2">
        <v>284</v>
      </c>
    </row>
    <row r="330" spans="2:4" x14ac:dyDescent="0.25">
      <c r="B330" s="2">
        <v>2041</v>
      </c>
      <c r="C330" s="3">
        <v>11</v>
      </c>
      <c r="D330" s="2">
        <v>127</v>
      </c>
    </row>
    <row r="331" spans="2:4" x14ac:dyDescent="0.25">
      <c r="B331" s="2">
        <v>2041</v>
      </c>
      <c r="C331" s="3">
        <v>12</v>
      </c>
      <c r="D331" s="2">
        <v>52</v>
      </c>
    </row>
    <row r="332" spans="2:4" x14ac:dyDescent="0.25">
      <c r="B332" s="2">
        <v>2041</v>
      </c>
      <c r="C332" s="3">
        <v>13</v>
      </c>
      <c r="D332" s="2">
        <v>18</v>
      </c>
    </row>
    <row r="333" spans="2:4" x14ac:dyDescent="0.25">
      <c r="B333" s="2">
        <v>2041</v>
      </c>
      <c r="C333" s="3">
        <v>14</v>
      </c>
      <c r="D333" s="2">
        <v>8</v>
      </c>
    </row>
    <row r="334" spans="2:4" x14ac:dyDescent="0.25">
      <c r="B334" s="2">
        <v>2041</v>
      </c>
      <c r="C334" s="3">
        <v>15</v>
      </c>
      <c r="D334" s="2">
        <v>2</v>
      </c>
    </row>
    <row r="335" spans="2:4" x14ac:dyDescent="0.25">
      <c r="B335" s="2">
        <v>2041</v>
      </c>
      <c r="C335" s="3">
        <v>16</v>
      </c>
      <c r="D335" s="2">
        <v>1</v>
      </c>
    </row>
    <row r="336" spans="2:4" x14ac:dyDescent="0.25">
      <c r="B336" s="2">
        <v>2042</v>
      </c>
      <c r="C336" s="3">
        <v>0</v>
      </c>
      <c r="D336" s="2">
        <v>349757</v>
      </c>
    </row>
    <row r="337" spans="2:4" x14ac:dyDescent="0.25">
      <c r="B337" s="2">
        <v>2042</v>
      </c>
      <c r="C337" s="3">
        <v>1</v>
      </c>
      <c r="D337" s="2">
        <v>147215</v>
      </c>
    </row>
    <row r="338" spans="2:4" x14ac:dyDescent="0.25">
      <c r="B338" s="2">
        <v>2042</v>
      </c>
      <c r="C338" s="3">
        <v>2</v>
      </c>
      <c r="D338" s="2">
        <v>74584</v>
      </c>
    </row>
    <row r="339" spans="2:4" x14ac:dyDescent="0.25">
      <c r="B339" s="2">
        <v>2042</v>
      </c>
      <c r="C339" s="3">
        <v>3</v>
      </c>
      <c r="D339" s="2">
        <v>41650</v>
      </c>
    </row>
    <row r="340" spans="2:4" x14ac:dyDescent="0.25">
      <c r="B340" s="2">
        <v>2042</v>
      </c>
      <c r="C340" s="3">
        <v>4</v>
      </c>
      <c r="D340" s="2">
        <v>22980</v>
      </c>
    </row>
    <row r="341" spans="2:4" x14ac:dyDescent="0.25">
      <c r="B341" s="2">
        <v>2042</v>
      </c>
      <c r="C341" s="3">
        <v>5</v>
      </c>
      <c r="D341" s="2">
        <v>12087</v>
      </c>
    </row>
    <row r="342" spans="2:4" x14ac:dyDescent="0.25">
      <c r="B342" s="2">
        <v>2042</v>
      </c>
      <c r="C342" s="3">
        <v>6</v>
      </c>
      <c r="D342" s="2">
        <v>6088</v>
      </c>
    </row>
    <row r="343" spans="2:4" x14ac:dyDescent="0.25">
      <c r="B343" s="2">
        <v>2042</v>
      </c>
      <c r="C343" s="3">
        <v>7</v>
      </c>
      <c r="D343" s="2">
        <v>3111</v>
      </c>
    </row>
    <row r="344" spans="2:4" x14ac:dyDescent="0.25">
      <c r="B344" s="2">
        <v>2042</v>
      </c>
      <c r="C344" s="3">
        <v>8</v>
      </c>
      <c r="D344" s="2">
        <v>1426</v>
      </c>
    </row>
    <row r="345" spans="2:4" x14ac:dyDescent="0.25">
      <c r="B345" s="2">
        <v>2042</v>
      </c>
      <c r="C345" s="3">
        <v>9</v>
      </c>
      <c r="D345" s="2">
        <v>709</v>
      </c>
    </row>
    <row r="346" spans="2:4" x14ac:dyDescent="0.25">
      <c r="B346" s="2">
        <v>2042</v>
      </c>
      <c r="C346" s="3">
        <v>10</v>
      </c>
      <c r="D346" s="2">
        <v>328</v>
      </c>
    </row>
    <row r="347" spans="2:4" x14ac:dyDescent="0.25">
      <c r="B347" s="2">
        <v>2042</v>
      </c>
      <c r="C347" s="3">
        <v>11</v>
      </c>
      <c r="D347" s="2">
        <v>137</v>
      </c>
    </row>
    <row r="348" spans="2:4" x14ac:dyDescent="0.25">
      <c r="B348" s="2">
        <v>2042</v>
      </c>
      <c r="C348" s="3">
        <v>12</v>
      </c>
      <c r="D348" s="2">
        <v>50</v>
      </c>
    </row>
    <row r="349" spans="2:4" x14ac:dyDescent="0.25">
      <c r="B349" s="2">
        <v>2042</v>
      </c>
      <c r="C349" s="3">
        <v>13</v>
      </c>
      <c r="D349" s="2">
        <v>26</v>
      </c>
    </row>
    <row r="350" spans="2:4" x14ac:dyDescent="0.25">
      <c r="B350" s="2">
        <v>2042</v>
      </c>
      <c r="C350" s="3">
        <v>14</v>
      </c>
      <c r="D350" s="2">
        <v>9</v>
      </c>
    </row>
    <row r="351" spans="2:4" x14ac:dyDescent="0.25">
      <c r="B351" s="2">
        <v>2042</v>
      </c>
      <c r="C351" s="3">
        <v>15</v>
      </c>
      <c r="D351" s="2">
        <v>3</v>
      </c>
    </row>
    <row r="352" spans="2:4" x14ac:dyDescent="0.25">
      <c r="B352" s="2">
        <v>2043</v>
      </c>
      <c r="C352" s="3">
        <v>0</v>
      </c>
      <c r="D352" s="2">
        <v>350716</v>
      </c>
    </row>
    <row r="353" spans="2:4" x14ac:dyDescent="0.25">
      <c r="B353" s="2">
        <v>2043</v>
      </c>
      <c r="C353" s="3">
        <v>1</v>
      </c>
      <c r="D353" s="2">
        <v>147712</v>
      </c>
    </row>
    <row r="354" spans="2:4" x14ac:dyDescent="0.25">
      <c r="B354" s="2">
        <v>2043</v>
      </c>
      <c r="C354" s="3">
        <v>2</v>
      </c>
      <c r="D354" s="2">
        <v>75125</v>
      </c>
    </row>
    <row r="355" spans="2:4" x14ac:dyDescent="0.25">
      <c r="B355" s="2">
        <v>2043</v>
      </c>
      <c r="C355" s="3">
        <v>3</v>
      </c>
      <c r="D355" s="2">
        <v>41876</v>
      </c>
    </row>
    <row r="356" spans="2:4" x14ac:dyDescent="0.25">
      <c r="B356" s="2">
        <v>2043</v>
      </c>
      <c r="C356" s="3">
        <v>4</v>
      </c>
      <c r="D356" s="2">
        <v>23297</v>
      </c>
    </row>
    <row r="357" spans="2:4" x14ac:dyDescent="0.25">
      <c r="B357" s="2">
        <v>2043</v>
      </c>
      <c r="C357" s="3">
        <v>5</v>
      </c>
      <c r="D357" s="2">
        <v>12203</v>
      </c>
    </row>
    <row r="358" spans="2:4" x14ac:dyDescent="0.25">
      <c r="B358" s="2">
        <v>2043</v>
      </c>
      <c r="C358" s="3">
        <v>6</v>
      </c>
      <c r="D358" s="2">
        <v>6236</v>
      </c>
    </row>
    <row r="359" spans="2:4" x14ac:dyDescent="0.25">
      <c r="B359" s="2">
        <v>2043</v>
      </c>
      <c r="C359" s="3">
        <v>7</v>
      </c>
      <c r="D359" s="2">
        <v>3192</v>
      </c>
    </row>
    <row r="360" spans="2:4" x14ac:dyDescent="0.25">
      <c r="B360" s="2">
        <v>2043</v>
      </c>
      <c r="C360" s="3">
        <v>8</v>
      </c>
      <c r="D360" s="2">
        <v>1547</v>
      </c>
    </row>
    <row r="361" spans="2:4" x14ac:dyDescent="0.25">
      <c r="B361" s="2">
        <v>2043</v>
      </c>
      <c r="C361" s="3">
        <v>9</v>
      </c>
      <c r="D361" s="2">
        <v>690</v>
      </c>
    </row>
    <row r="362" spans="2:4" x14ac:dyDescent="0.25">
      <c r="B362" s="2">
        <v>2043</v>
      </c>
      <c r="C362" s="3">
        <v>10</v>
      </c>
      <c r="D362" s="2">
        <v>323</v>
      </c>
    </row>
    <row r="363" spans="2:4" x14ac:dyDescent="0.25">
      <c r="B363" s="2">
        <v>2043</v>
      </c>
      <c r="C363" s="3">
        <v>11</v>
      </c>
      <c r="D363" s="2">
        <v>143</v>
      </c>
    </row>
    <row r="364" spans="2:4" x14ac:dyDescent="0.25">
      <c r="B364" s="2">
        <v>2043</v>
      </c>
      <c r="C364" s="3">
        <v>12</v>
      </c>
      <c r="D364" s="2">
        <v>56</v>
      </c>
    </row>
    <row r="365" spans="2:4" x14ac:dyDescent="0.25">
      <c r="B365" s="2">
        <v>2043</v>
      </c>
      <c r="C365" s="3">
        <v>13</v>
      </c>
      <c r="D365" s="2">
        <v>22</v>
      </c>
    </row>
    <row r="366" spans="2:4" x14ac:dyDescent="0.25">
      <c r="B366" s="2">
        <v>2043</v>
      </c>
      <c r="C366" s="3">
        <v>14</v>
      </c>
      <c r="D366" s="2">
        <v>8</v>
      </c>
    </row>
    <row r="367" spans="2:4" x14ac:dyDescent="0.25">
      <c r="B367" s="2">
        <v>2043</v>
      </c>
      <c r="C367" s="3">
        <v>15</v>
      </c>
      <c r="D367" s="2">
        <v>3</v>
      </c>
    </row>
    <row r="368" spans="2:4" x14ac:dyDescent="0.25">
      <c r="B368" s="2">
        <v>2043</v>
      </c>
      <c r="C368" s="3">
        <v>16</v>
      </c>
      <c r="D368" s="2">
        <v>1</v>
      </c>
    </row>
    <row r="369" spans="2:4" x14ac:dyDescent="0.25">
      <c r="B369" s="2">
        <v>2044</v>
      </c>
      <c r="C369" s="3">
        <v>0</v>
      </c>
      <c r="D369" s="2">
        <v>351558</v>
      </c>
    </row>
    <row r="370" spans="2:4" x14ac:dyDescent="0.25">
      <c r="B370" s="2">
        <v>2044</v>
      </c>
      <c r="C370" s="3">
        <v>1</v>
      </c>
      <c r="D370" s="2">
        <v>148054</v>
      </c>
    </row>
    <row r="371" spans="2:4" x14ac:dyDescent="0.25">
      <c r="B371" s="2">
        <v>2044</v>
      </c>
      <c r="C371" s="3">
        <v>2</v>
      </c>
      <c r="D371" s="2">
        <v>75317</v>
      </c>
    </row>
    <row r="372" spans="2:4" x14ac:dyDescent="0.25">
      <c r="B372" s="2">
        <v>2044</v>
      </c>
      <c r="C372" s="3">
        <v>3</v>
      </c>
      <c r="D372" s="2">
        <v>42926</v>
      </c>
    </row>
    <row r="373" spans="2:4" x14ac:dyDescent="0.25">
      <c r="B373" s="2">
        <v>2044</v>
      </c>
      <c r="C373" s="3">
        <v>4</v>
      </c>
      <c r="D373" s="2">
        <v>23462</v>
      </c>
    </row>
    <row r="374" spans="2:4" x14ac:dyDescent="0.25">
      <c r="B374" s="2">
        <v>2044</v>
      </c>
      <c r="C374" s="3">
        <v>5</v>
      </c>
      <c r="D374" s="2">
        <v>12381</v>
      </c>
    </row>
    <row r="375" spans="2:4" x14ac:dyDescent="0.25">
      <c r="B375" s="2">
        <v>2044</v>
      </c>
      <c r="C375" s="3">
        <v>6</v>
      </c>
      <c r="D375" s="2">
        <v>6416</v>
      </c>
    </row>
    <row r="376" spans="2:4" x14ac:dyDescent="0.25">
      <c r="B376" s="2">
        <v>2044</v>
      </c>
      <c r="C376" s="3">
        <v>7</v>
      </c>
      <c r="D376" s="2">
        <v>3185</v>
      </c>
    </row>
    <row r="377" spans="2:4" x14ac:dyDescent="0.25">
      <c r="B377" s="2">
        <v>2044</v>
      </c>
      <c r="C377" s="3">
        <v>8</v>
      </c>
      <c r="D377" s="2">
        <v>1562</v>
      </c>
    </row>
    <row r="378" spans="2:4" x14ac:dyDescent="0.25">
      <c r="B378" s="2">
        <v>2044</v>
      </c>
      <c r="C378" s="3">
        <v>9</v>
      </c>
      <c r="D378" s="2">
        <v>698</v>
      </c>
    </row>
    <row r="379" spans="2:4" x14ac:dyDescent="0.25">
      <c r="B379" s="2">
        <v>2044</v>
      </c>
      <c r="C379" s="3">
        <v>10</v>
      </c>
      <c r="D379" s="2">
        <v>291</v>
      </c>
    </row>
    <row r="380" spans="2:4" x14ac:dyDescent="0.25">
      <c r="B380" s="2">
        <v>2044</v>
      </c>
      <c r="C380" s="3">
        <v>11</v>
      </c>
      <c r="D380" s="2">
        <v>141</v>
      </c>
    </row>
    <row r="381" spans="2:4" x14ac:dyDescent="0.25">
      <c r="B381" s="2">
        <v>2044</v>
      </c>
      <c r="C381" s="3">
        <v>12</v>
      </c>
      <c r="D381" s="2">
        <v>63</v>
      </c>
    </row>
    <row r="382" spans="2:4" x14ac:dyDescent="0.25">
      <c r="B382" s="2">
        <v>2044</v>
      </c>
      <c r="C382" s="3">
        <v>13</v>
      </c>
      <c r="D382" s="2">
        <v>18</v>
      </c>
    </row>
    <row r="383" spans="2:4" x14ac:dyDescent="0.25">
      <c r="B383" s="2">
        <v>2044</v>
      </c>
      <c r="C383" s="3">
        <v>14</v>
      </c>
      <c r="D383" s="2">
        <v>12</v>
      </c>
    </row>
    <row r="384" spans="2:4" x14ac:dyDescent="0.25">
      <c r="B384" s="2">
        <v>2044</v>
      </c>
      <c r="C384" s="3">
        <v>15</v>
      </c>
      <c r="D384" s="2">
        <v>4</v>
      </c>
    </row>
    <row r="385" spans="2:4" x14ac:dyDescent="0.25">
      <c r="B385" s="2">
        <v>2045</v>
      </c>
      <c r="C385" s="3">
        <v>0</v>
      </c>
      <c r="D385" s="2">
        <v>351891</v>
      </c>
    </row>
    <row r="386" spans="2:4" x14ac:dyDescent="0.25">
      <c r="B386" s="2">
        <v>2045</v>
      </c>
      <c r="C386" s="3">
        <v>1</v>
      </c>
      <c r="D386" s="2">
        <v>149263</v>
      </c>
    </row>
    <row r="387" spans="2:4" x14ac:dyDescent="0.25">
      <c r="B387" s="2">
        <v>2045</v>
      </c>
      <c r="C387" s="3">
        <v>2</v>
      </c>
      <c r="D387" s="2">
        <v>76300</v>
      </c>
    </row>
    <row r="388" spans="2:4" x14ac:dyDescent="0.25">
      <c r="B388" s="2">
        <v>2045</v>
      </c>
      <c r="C388" s="3">
        <v>3</v>
      </c>
      <c r="D388" s="2">
        <v>42959</v>
      </c>
    </row>
    <row r="389" spans="2:4" x14ac:dyDescent="0.25">
      <c r="B389" s="2">
        <v>2045</v>
      </c>
      <c r="C389" s="3">
        <v>4</v>
      </c>
      <c r="D389" s="2">
        <v>23518</v>
      </c>
    </row>
    <row r="390" spans="2:4" x14ac:dyDescent="0.25">
      <c r="B390" s="2">
        <v>2045</v>
      </c>
      <c r="C390" s="3">
        <v>5</v>
      </c>
      <c r="D390" s="2">
        <v>12530</v>
      </c>
    </row>
    <row r="391" spans="2:4" x14ac:dyDescent="0.25">
      <c r="B391" s="2">
        <v>2045</v>
      </c>
      <c r="C391" s="3">
        <v>6</v>
      </c>
      <c r="D391" s="2">
        <v>6468</v>
      </c>
    </row>
    <row r="392" spans="2:4" x14ac:dyDescent="0.25">
      <c r="B392" s="2">
        <v>2045</v>
      </c>
      <c r="C392" s="3">
        <v>7</v>
      </c>
      <c r="D392" s="2">
        <v>3235</v>
      </c>
    </row>
    <row r="393" spans="2:4" x14ac:dyDescent="0.25">
      <c r="B393" s="2">
        <v>2045</v>
      </c>
      <c r="C393" s="3">
        <v>8</v>
      </c>
      <c r="D393" s="2">
        <v>1565</v>
      </c>
    </row>
    <row r="394" spans="2:4" x14ac:dyDescent="0.25">
      <c r="B394" s="2">
        <v>2045</v>
      </c>
      <c r="C394" s="3">
        <v>9</v>
      </c>
      <c r="D394" s="2">
        <v>713</v>
      </c>
    </row>
    <row r="395" spans="2:4" x14ac:dyDescent="0.25">
      <c r="B395" s="2">
        <v>2045</v>
      </c>
      <c r="C395" s="3">
        <v>10</v>
      </c>
      <c r="D395" s="2">
        <v>326</v>
      </c>
    </row>
    <row r="396" spans="2:4" x14ac:dyDescent="0.25">
      <c r="B396" s="2">
        <v>2045</v>
      </c>
      <c r="C396" s="3">
        <v>11</v>
      </c>
      <c r="D396" s="2">
        <v>156</v>
      </c>
    </row>
    <row r="397" spans="2:4" x14ac:dyDescent="0.25">
      <c r="B397" s="2">
        <v>2045</v>
      </c>
      <c r="C397" s="3">
        <v>12</v>
      </c>
      <c r="D397" s="2">
        <v>65</v>
      </c>
    </row>
    <row r="398" spans="2:4" x14ac:dyDescent="0.25">
      <c r="B398" s="2">
        <v>2045</v>
      </c>
      <c r="C398" s="3">
        <v>13</v>
      </c>
      <c r="D398" s="2">
        <v>23</v>
      </c>
    </row>
    <row r="399" spans="2:4" x14ac:dyDescent="0.25">
      <c r="B399" s="2">
        <v>2045</v>
      </c>
      <c r="C399" s="3">
        <v>14</v>
      </c>
      <c r="D399" s="2">
        <v>8</v>
      </c>
    </row>
    <row r="400" spans="2:4" x14ac:dyDescent="0.25">
      <c r="B400" s="2">
        <v>2045</v>
      </c>
      <c r="C400" s="3">
        <v>15</v>
      </c>
      <c r="D400" s="2">
        <v>3</v>
      </c>
    </row>
    <row r="401" spans="2:4" x14ac:dyDescent="0.25">
      <c r="B401" s="2">
        <v>2046</v>
      </c>
      <c r="C401" s="3">
        <v>0</v>
      </c>
      <c r="D401" s="2">
        <v>352536</v>
      </c>
    </row>
    <row r="402" spans="2:4" x14ac:dyDescent="0.25">
      <c r="B402" s="2">
        <v>2046</v>
      </c>
      <c r="C402" s="3">
        <v>1</v>
      </c>
      <c r="D402" s="2">
        <v>149866</v>
      </c>
    </row>
    <row r="403" spans="2:4" x14ac:dyDescent="0.25">
      <c r="B403" s="2">
        <v>2046</v>
      </c>
      <c r="C403" s="3">
        <v>2</v>
      </c>
      <c r="D403" s="2">
        <v>76862</v>
      </c>
    </row>
    <row r="404" spans="2:4" x14ac:dyDescent="0.25">
      <c r="B404" s="2">
        <v>2046</v>
      </c>
      <c r="C404" s="3">
        <v>3</v>
      </c>
      <c r="D404" s="2">
        <v>43285</v>
      </c>
    </row>
    <row r="405" spans="2:4" x14ac:dyDescent="0.25">
      <c r="B405" s="2">
        <v>2046</v>
      </c>
      <c r="C405" s="3">
        <v>4</v>
      </c>
      <c r="D405" s="2">
        <v>23855</v>
      </c>
    </row>
    <row r="406" spans="2:4" x14ac:dyDescent="0.25">
      <c r="B406" s="2">
        <v>2046</v>
      </c>
      <c r="C406" s="3">
        <v>5</v>
      </c>
      <c r="D406" s="2">
        <v>12777</v>
      </c>
    </row>
    <row r="407" spans="2:4" x14ac:dyDescent="0.25">
      <c r="B407" s="2">
        <v>2046</v>
      </c>
      <c r="C407" s="3">
        <v>6</v>
      </c>
      <c r="D407" s="2">
        <v>6498</v>
      </c>
    </row>
    <row r="408" spans="2:4" x14ac:dyDescent="0.25">
      <c r="B408" s="2">
        <v>2046</v>
      </c>
      <c r="C408" s="3">
        <v>7</v>
      </c>
      <c r="D408" s="2">
        <v>3334</v>
      </c>
    </row>
    <row r="409" spans="2:4" x14ac:dyDescent="0.25">
      <c r="B409" s="2">
        <v>2046</v>
      </c>
      <c r="C409" s="3">
        <v>8</v>
      </c>
      <c r="D409" s="2">
        <v>1590</v>
      </c>
    </row>
    <row r="410" spans="2:4" x14ac:dyDescent="0.25">
      <c r="B410" s="2">
        <v>2046</v>
      </c>
      <c r="C410" s="3">
        <v>9</v>
      </c>
      <c r="D410" s="2">
        <v>770</v>
      </c>
    </row>
    <row r="411" spans="2:4" x14ac:dyDescent="0.25">
      <c r="B411" s="2">
        <v>2046</v>
      </c>
      <c r="C411" s="3">
        <v>10</v>
      </c>
      <c r="D411" s="2">
        <v>354</v>
      </c>
    </row>
    <row r="412" spans="2:4" x14ac:dyDescent="0.25">
      <c r="B412" s="2">
        <v>2046</v>
      </c>
      <c r="C412" s="3">
        <v>11</v>
      </c>
      <c r="D412" s="2">
        <v>153</v>
      </c>
    </row>
    <row r="413" spans="2:4" x14ac:dyDescent="0.25">
      <c r="B413" s="2">
        <v>2046</v>
      </c>
      <c r="C413" s="3">
        <v>12</v>
      </c>
      <c r="D413" s="2">
        <v>49</v>
      </c>
    </row>
    <row r="414" spans="2:4" x14ac:dyDescent="0.25">
      <c r="B414" s="2">
        <v>2046</v>
      </c>
      <c r="C414" s="3">
        <v>13</v>
      </c>
      <c r="D414" s="2">
        <v>18</v>
      </c>
    </row>
    <row r="415" spans="2:4" x14ac:dyDescent="0.25">
      <c r="B415" s="2">
        <v>2046</v>
      </c>
      <c r="C415" s="3">
        <v>14</v>
      </c>
      <c r="D415" s="2">
        <v>11</v>
      </c>
    </row>
    <row r="416" spans="2:4" x14ac:dyDescent="0.25">
      <c r="B416" s="2">
        <v>2046</v>
      </c>
      <c r="C416" s="3">
        <v>15</v>
      </c>
      <c r="D416" s="2">
        <v>4</v>
      </c>
    </row>
    <row r="417" spans="2:4" x14ac:dyDescent="0.25">
      <c r="B417" s="2">
        <v>2047</v>
      </c>
      <c r="C417" s="3">
        <v>0</v>
      </c>
      <c r="D417" s="2">
        <v>354062</v>
      </c>
    </row>
    <row r="418" spans="2:4" x14ac:dyDescent="0.25">
      <c r="B418" s="2">
        <v>2047</v>
      </c>
      <c r="C418" s="3">
        <v>1</v>
      </c>
      <c r="D418" s="2">
        <v>150242</v>
      </c>
    </row>
    <row r="419" spans="2:4" x14ac:dyDescent="0.25">
      <c r="B419" s="2">
        <v>2047</v>
      </c>
      <c r="C419" s="3">
        <v>2</v>
      </c>
      <c r="D419" s="2">
        <v>76820</v>
      </c>
    </row>
    <row r="420" spans="2:4" x14ac:dyDescent="0.25">
      <c r="B420" s="2">
        <v>2047</v>
      </c>
      <c r="C420" s="3">
        <v>3</v>
      </c>
      <c r="D420" s="2">
        <v>43628</v>
      </c>
    </row>
    <row r="421" spans="2:4" x14ac:dyDescent="0.25">
      <c r="B421" s="2">
        <v>2047</v>
      </c>
      <c r="C421" s="3">
        <v>4</v>
      </c>
      <c r="D421" s="2">
        <v>24297</v>
      </c>
    </row>
    <row r="422" spans="2:4" x14ac:dyDescent="0.25">
      <c r="B422" s="2">
        <v>2047</v>
      </c>
      <c r="C422" s="3">
        <v>5</v>
      </c>
      <c r="D422" s="2">
        <v>12810</v>
      </c>
    </row>
    <row r="423" spans="2:4" x14ac:dyDescent="0.25">
      <c r="B423" s="2">
        <v>2047</v>
      </c>
      <c r="C423" s="3">
        <v>6</v>
      </c>
      <c r="D423" s="2">
        <v>6538</v>
      </c>
    </row>
    <row r="424" spans="2:4" x14ac:dyDescent="0.25">
      <c r="B424" s="2">
        <v>2047</v>
      </c>
      <c r="C424" s="3">
        <v>7</v>
      </c>
      <c r="D424" s="2">
        <v>3419</v>
      </c>
    </row>
    <row r="425" spans="2:4" x14ac:dyDescent="0.25">
      <c r="B425" s="2">
        <v>2047</v>
      </c>
      <c r="C425" s="3">
        <v>8</v>
      </c>
      <c r="D425" s="2">
        <v>1646</v>
      </c>
    </row>
    <row r="426" spans="2:4" x14ac:dyDescent="0.25">
      <c r="B426" s="2">
        <v>2047</v>
      </c>
      <c r="C426" s="3">
        <v>9</v>
      </c>
      <c r="D426" s="2">
        <v>777</v>
      </c>
    </row>
    <row r="427" spans="2:4" x14ac:dyDescent="0.25">
      <c r="B427" s="2">
        <v>2047</v>
      </c>
      <c r="C427" s="3">
        <v>10</v>
      </c>
      <c r="D427" s="2">
        <v>351</v>
      </c>
    </row>
    <row r="428" spans="2:4" x14ac:dyDescent="0.25">
      <c r="B428" s="2">
        <v>2047</v>
      </c>
      <c r="C428" s="3">
        <v>11</v>
      </c>
      <c r="D428" s="2">
        <v>150</v>
      </c>
    </row>
    <row r="429" spans="2:4" x14ac:dyDescent="0.25">
      <c r="B429" s="2">
        <v>2047</v>
      </c>
      <c r="C429" s="3">
        <v>12</v>
      </c>
      <c r="D429" s="2">
        <v>50</v>
      </c>
    </row>
    <row r="430" spans="2:4" x14ac:dyDescent="0.25">
      <c r="B430" s="2">
        <v>2047</v>
      </c>
      <c r="C430" s="3">
        <v>13</v>
      </c>
      <c r="D430" s="2">
        <v>21</v>
      </c>
    </row>
    <row r="431" spans="2:4" x14ac:dyDescent="0.25">
      <c r="B431" s="2">
        <v>2047</v>
      </c>
      <c r="C431" s="3">
        <v>14</v>
      </c>
      <c r="D431" s="2">
        <v>13</v>
      </c>
    </row>
    <row r="432" spans="2:4" x14ac:dyDescent="0.25">
      <c r="B432" s="2">
        <v>2047</v>
      </c>
      <c r="C432" s="3">
        <v>16</v>
      </c>
      <c r="D432" s="2">
        <v>2</v>
      </c>
    </row>
    <row r="433" spans="2:4" x14ac:dyDescent="0.25">
      <c r="B433" s="2">
        <v>2047</v>
      </c>
      <c r="C433" s="3">
        <v>18</v>
      </c>
      <c r="D433" s="2">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9F5E2-4A4C-44C4-9ABA-578A83FCDB58}">
  <sheetPr>
    <tabColor rgb="FF00BED2"/>
  </sheetPr>
  <dimension ref="B2:I12"/>
  <sheetViews>
    <sheetView workbookViewId="0">
      <selection activeCell="C4" sqref="C4"/>
    </sheetView>
  </sheetViews>
  <sheetFormatPr defaultRowHeight="15" x14ac:dyDescent="0.25"/>
  <cols>
    <col min="1" max="1" width="2.7109375" style="8" customWidth="1"/>
    <col min="2" max="2" width="23" style="8" customWidth="1"/>
    <col min="3" max="4" width="9.140625" style="8"/>
    <col min="5" max="9" width="12.7109375" style="8" customWidth="1"/>
    <col min="10" max="16384" width="9.140625" style="8"/>
  </cols>
  <sheetData>
    <row r="2" spans="2:9" x14ac:dyDescent="0.25">
      <c r="B2" s="9" t="s">
        <v>6</v>
      </c>
      <c r="C2" s="10" t="s">
        <v>3</v>
      </c>
      <c r="D2" s="2"/>
      <c r="E2" s="2"/>
      <c r="F2" s="2"/>
      <c r="G2" s="2"/>
      <c r="H2" s="2"/>
      <c r="I2" s="2"/>
    </row>
    <row r="3" spans="2:9" x14ac:dyDescent="0.25">
      <c r="B3" s="2" t="s">
        <v>7</v>
      </c>
      <c r="C3" s="11">
        <v>2025</v>
      </c>
      <c r="D3" s="2"/>
      <c r="E3" s="2"/>
      <c r="F3" s="2"/>
      <c r="G3" s="2"/>
      <c r="H3" s="2"/>
      <c r="I3" s="2"/>
    </row>
    <row r="4" spans="2:9" x14ac:dyDescent="0.25">
      <c r="B4" s="2" t="s">
        <v>8</v>
      </c>
      <c r="C4" s="11">
        <v>2047</v>
      </c>
      <c r="D4" s="2"/>
      <c r="E4" s="2"/>
      <c r="F4" s="2"/>
      <c r="G4" s="2"/>
      <c r="H4" s="2"/>
      <c r="I4" s="2"/>
    </row>
    <row r="5" spans="2:9" x14ac:dyDescent="0.25">
      <c r="B5" s="2"/>
      <c r="C5" s="2"/>
      <c r="D5" s="2"/>
      <c r="E5" s="2"/>
      <c r="F5" s="2"/>
      <c r="G5" s="2"/>
      <c r="H5" s="2"/>
      <c r="I5" s="2"/>
    </row>
    <row r="6" spans="2:9" x14ac:dyDescent="0.25">
      <c r="B6" s="1"/>
      <c r="C6" s="183" t="s">
        <v>9</v>
      </c>
      <c r="D6" s="184"/>
      <c r="E6" s="183" t="s">
        <v>10</v>
      </c>
      <c r="F6" s="185"/>
      <c r="G6" s="183" t="s">
        <v>11</v>
      </c>
      <c r="H6" s="185"/>
      <c r="I6" s="2"/>
    </row>
    <row r="7" spans="2:9" x14ac:dyDescent="0.25">
      <c r="B7" s="9" t="s">
        <v>12</v>
      </c>
      <c r="C7" s="10" t="s">
        <v>13</v>
      </c>
      <c r="D7" s="9" t="s">
        <v>14</v>
      </c>
      <c r="E7" s="28" t="s">
        <v>7</v>
      </c>
      <c r="F7" s="29" t="s">
        <v>8</v>
      </c>
      <c r="G7" s="28" t="s">
        <v>7</v>
      </c>
      <c r="H7" s="29" t="s">
        <v>8</v>
      </c>
      <c r="I7" s="28" t="s">
        <v>15</v>
      </c>
    </row>
    <row r="8" spans="2:9" x14ac:dyDescent="0.25">
      <c r="B8" s="30" t="s">
        <v>16</v>
      </c>
      <c r="C8" s="11">
        <v>0</v>
      </c>
      <c r="D8" s="2">
        <v>1</v>
      </c>
      <c r="E8" s="11">
        <f>SUMIFS('INPUT | POPULATION'!$D:$D,'INPUT | POPULATION'!$B:$B,$C$3,'INPUT | POPULATION'!$C:$C,"&gt;="&amp;$C8,'INPUT | POPULATION'!$C:$C,"&lt;"&amp;$D8)</f>
        <v>341401</v>
      </c>
      <c r="F8" s="13">
        <f>SUMIFS('INPUT | POPULATION'!$D:$D,'INPUT | POPULATION'!$B:$B,$C$4,'INPUT | POPULATION'!$C:$C,"&gt;="&amp;$C8,'INPUT | POPULATION'!$C:$C,"&lt;"&amp;$D8)</f>
        <v>354062</v>
      </c>
      <c r="G8" s="14">
        <f>E8/E$12</f>
        <v>0.56317282789792311</v>
      </c>
      <c r="H8" s="15">
        <f t="shared" ref="H8:H11" si="0">F8/F$12</f>
        <v>0.52467154496121959</v>
      </c>
      <c r="I8" s="16">
        <f>(F8-E8)/E8</f>
        <v>3.7085421542409076E-2</v>
      </c>
    </row>
    <row r="9" spans="2:9" x14ac:dyDescent="0.25">
      <c r="B9" s="31" t="s">
        <v>17</v>
      </c>
      <c r="C9" s="11">
        <v>1</v>
      </c>
      <c r="D9" s="2">
        <v>4</v>
      </c>
      <c r="E9" s="11">
        <f>SUMIFS('INPUT | POPULATION'!$D:$D,'INPUT | POPULATION'!$B:$B,$C$3,'INPUT | POPULATION'!$C:$C,"&gt;="&amp;$C9,'INPUT | POPULATION'!$C:$C,"&lt;"&amp;$D9)</f>
        <v>229326</v>
      </c>
      <c r="F9" s="13">
        <f>SUMIFS('INPUT | POPULATION'!$D:$D,'INPUT | POPULATION'!$B:$B,$C$4,'INPUT | POPULATION'!$C:$C,"&gt;="&amp;$C9,'INPUT | POPULATION'!$C:$C,"&lt;"&amp;$D9)</f>
        <v>270690</v>
      </c>
      <c r="G9" s="14">
        <f t="shared" ref="G9:G11" si="1">E9/E$12</f>
        <v>0.37829465036868409</v>
      </c>
      <c r="H9" s="15">
        <f t="shared" si="0"/>
        <v>0.40112562349405623</v>
      </c>
      <c r="I9" s="16">
        <f t="shared" ref="I9:I12" si="2">(F9-E9)/E9</f>
        <v>0.18037204678056565</v>
      </c>
    </row>
    <row r="10" spans="2:9" x14ac:dyDescent="0.25">
      <c r="B10" s="32" t="s">
        <v>18</v>
      </c>
      <c r="C10" s="11">
        <v>4</v>
      </c>
      <c r="D10" s="2">
        <v>7</v>
      </c>
      <c r="E10" s="11">
        <f>SUMIFS('INPUT | POPULATION'!$D:$D,'INPUT | POPULATION'!$B:$B,$C$3,'INPUT | POPULATION'!$C:$C,"&gt;="&amp;$C10,'INPUT | POPULATION'!$C:$C,"&lt;"&amp;$D10)</f>
        <v>31459</v>
      </c>
      <c r="F10" s="13">
        <f>SUMIFS('INPUT | POPULATION'!$D:$D,'INPUT | POPULATION'!$B:$B,$C$4,'INPUT | POPULATION'!$C:$C,"&gt;="&amp;$C10,'INPUT | POPULATION'!$C:$C,"&lt;"&amp;$D10)</f>
        <v>43645</v>
      </c>
      <c r="G10" s="14">
        <f t="shared" si="1"/>
        <v>5.1894557991455106E-2</v>
      </c>
      <c r="H10" s="15">
        <f t="shared" si="0"/>
        <v>6.4675931277099571E-2</v>
      </c>
      <c r="I10" s="16">
        <f t="shared" si="2"/>
        <v>0.38736132744206747</v>
      </c>
    </row>
    <row r="11" spans="2:9" x14ac:dyDescent="0.25">
      <c r="B11" s="33" t="s">
        <v>19</v>
      </c>
      <c r="C11" s="20">
        <v>7</v>
      </c>
      <c r="D11" s="21">
        <v>18</v>
      </c>
      <c r="E11" s="20">
        <f>SUMIFS('INPUT | POPULATION'!$D:$D,'INPUT | POPULATION'!$B:$B,$C$3,'INPUT | POPULATION'!$C:$C,"&gt;="&amp;$C11,'INPUT | POPULATION'!$C:$C,"&lt;"&amp;$D11)</f>
        <v>4024</v>
      </c>
      <c r="F11" s="22">
        <f>SUMIFS('INPUT | POPULATION'!$D:$D,'INPUT | POPULATION'!$B:$B,$C$4,'INPUT | POPULATION'!$C:$C,"&gt;="&amp;$C11,'INPUT | POPULATION'!$C:$C,"&lt;"&amp;$D11)</f>
        <v>6429</v>
      </c>
      <c r="G11" s="23">
        <f t="shared" si="1"/>
        <v>6.6379637419376122E-3</v>
      </c>
      <c r="H11" s="24">
        <f t="shared" si="0"/>
        <v>9.5269002676245437E-3</v>
      </c>
      <c r="I11" s="25">
        <f t="shared" si="2"/>
        <v>0.59766401590457252</v>
      </c>
    </row>
    <row r="12" spans="2:9" x14ac:dyDescent="0.25">
      <c r="B12" s="2"/>
      <c r="C12" s="2"/>
      <c r="D12" s="2"/>
      <c r="E12" s="26">
        <f>SUM(E8:E11)</f>
        <v>606210</v>
      </c>
      <c r="F12" s="27">
        <f>SUM(F8:F11)</f>
        <v>674826</v>
      </c>
      <c r="G12" s="2"/>
      <c r="H12" s="2"/>
      <c r="I12" s="25">
        <f t="shared" si="2"/>
        <v>0.11318849903498787</v>
      </c>
    </row>
  </sheetData>
  <mergeCells count="3">
    <mergeCell ref="C6:D6"/>
    <mergeCell ref="E6:F6"/>
    <mergeCell ref="G6:H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FE002E-CA51-4BC4-8D7E-62AF0F4CCE44}">
  <sheetPr>
    <tabColor theme="1"/>
  </sheetPr>
  <dimension ref="B2:R24"/>
  <sheetViews>
    <sheetView workbookViewId="0">
      <selection activeCell="C12" sqref="C12"/>
    </sheetView>
  </sheetViews>
  <sheetFormatPr defaultRowHeight="15" x14ac:dyDescent="0.25"/>
  <cols>
    <col min="1" max="1" width="2.7109375" style="2" customWidth="1"/>
    <col min="2" max="2" width="39.42578125" style="2" bestFit="1" customWidth="1"/>
    <col min="3" max="10" width="9.140625" style="2"/>
    <col min="11" max="11" width="39.42578125" style="2" bestFit="1" customWidth="1"/>
    <col min="12" max="16384" width="9.140625" style="2"/>
  </cols>
  <sheetData>
    <row r="2" spans="2:18" x14ac:dyDescent="0.25">
      <c r="B2" s="186" t="s">
        <v>28</v>
      </c>
      <c r="C2" s="186"/>
      <c r="D2" s="186"/>
      <c r="E2" s="186"/>
      <c r="F2" s="186"/>
      <c r="G2" s="186"/>
      <c r="H2" s="186"/>
      <c r="I2" s="186"/>
      <c r="K2" s="184" t="s">
        <v>44</v>
      </c>
      <c r="L2" s="184"/>
      <c r="M2" s="184"/>
      <c r="N2" s="184"/>
      <c r="O2" s="184"/>
      <c r="P2" s="184"/>
      <c r="Q2" s="184"/>
      <c r="R2" s="184"/>
    </row>
    <row r="4" spans="2:18" x14ac:dyDescent="0.25">
      <c r="C4" s="187" t="s">
        <v>0</v>
      </c>
      <c r="D4" s="186"/>
      <c r="E4" s="186"/>
      <c r="F4" s="186"/>
      <c r="G4" s="186"/>
      <c r="H4" s="186"/>
      <c r="I4" s="186"/>
      <c r="L4" s="188" t="s">
        <v>26</v>
      </c>
      <c r="M4" s="189"/>
      <c r="N4" s="189"/>
      <c r="O4" s="189"/>
      <c r="P4" s="189"/>
      <c r="Q4" s="189"/>
      <c r="R4" s="189"/>
    </row>
    <row r="5" spans="2:18" x14ac:dyDescent="0.25">
      <c r="B5" s="36" t="s">
        <v>29</v>
      </c>
      <c r="C5" s="37">
        <v>1</v>
      </c>
      <c r="D5" s="36">
        <v>2</v>
      </c>
      <c r="E5" s="36">
        <v>3</v>
      </c>
      <c r="F5" s="36">
        <v>4</v>
      </c>
      <c r="G5" s="36">
        <v>5</v>
      </c>
      <c r="H5" s="38">
        <v>6</v>
      </c>
      <c r="I5" s="36" t="s">
        <v>30</v>
      </c>
      <c r="K5" s="39" t="s">
        <v>29</v>
      </c>
      <c r="L5" s="48" t="s">
        <v>45</v>
      </c>
      <c r="M5" s="49" t="s">
        <v>21</v>
      </c>
      <c r="N5" s="49" t="s">
        <v>22</v>
      </c>
      <c r="O5" s="49" t="s">
        <v>23</v>
      </c>
      <c r="P5" s="49" t="s">
        <v>24</v>
      </c>
      <c r="Q5" s="50" t="s">
        <v>25</v>
      </c>
      <c r="R5" s="39" t="s">
        <v>30</v>
      </c>
    </row>
    <row r="6" spans="2:18" x14ac:dyDescent="0.25">
      <c r="B6" s="2" t="s">
        <v>31</v>
      </c>
      <c r="C6" s="40">
        <v>0.17449999999999999</v>
      </c>
      <c r="D6" s="41">
        <v>4.02E-2</v>
      </c>
      <c r="E6" s="41">
        <v>1.9E-2</v>
      </c>
      <c r="F6" s="41">
        <v>4.7999999999999996E-3</v>
      </c>
      <c r="G6" s="41">
        <v>2E-3</v>
      </c>
      <c r="H6" s="42">
        <v>6.9999999999999999E-4</v>
      </c>
      <c r="I6" s="43">
        <v>0.2412</v>
      </c>
      <c r="K6" s="2" t="s">
        <v>41</v>
      </c>
      <c r="L6" s="58">
        <f t="shared" ref="L6:R9" si="0">C20/C$24</f>
        <v>0.49821337417049516</v>
      </c>
      <c r="M6" s="59">
        <f t="shared" si="0"/>
        <v>0.38022813688212925</v>
      </c>
      <c r="N6" s="59">
        <f t="shared" si="0"/>
        <v>0.33148019457956918</v>
      </c>
      <c r="O6" s="59">
        <f t="shared" si="0"/>
        <v>0.33689839572192509</v>
      </c>
      <c r="P6" s="59">
        <f t="shared" si="0"/>
        <v>0.23270440251572327</v>
      </c>
      <c r="Q6" s="60">
        <f t="shared" si="0"/>
        <v>0.27083333333333331</v>
      </c>
      <c r="R6" s="61">
        <f t="shared" si="0"/>
        <v>0.43805619438056198</v>
      </c>
    </row>
    <row r="7" spans="2:18" x14ac:dyDescent="0.25">
      <c r="B7" s="2" t="s">
        <v>32</v>
      </c>
      <c r="C7" s="40">
        <v>8.8099999999999998E-2</v>
      </c>
      <c r="D7" s="41">
        <v>2.6700000000000002E-2</v>
      </c>
      <c r="E7" s="41">
        <v>1.7899999999999999E-2</v>
      </c>
      <c r="F7" s="41">
        <v>4.1000000000000003E-3</v>
      </c>
      <c r="G7" s="41">
        <v>1.1000000000000001E-3</v>
      </c>
      <c r="H7" s="42">
        <v>2.9999999999999997E-4</v>
      </c>
      <c r="I7" s="43">
        <v>0.13819999999999996</v>
      </c>
      <c r="K7" s="2" t="s">
        <v>39</v>
      </c>
      <c r="L7" s="58">
        <f t="shared" si="0"/>
        <v>0.19908116385911179</v>
      </c>
      <c r="M7" s="59">
        <f t="shared" si="0"/>
        <v>0.24429657794676807</v>
      </c>
      <c r="N7" s="59">
        <f t="shared" si="0"/>
        <v>0.31619179986101459</v>
      </c>
      <c r="O7" s="59">
        <f t="shared" si="0"/>
        <v>0.27807486631016037</v>
      </c>
      <c r="P7" s="59">
        <f t="shared" si="0"/>
        <v>0.36477987421383645</v>
      </c>
      <c r="Q7" s="60">
        <f t="shared" si="0"/>
        <v>0.37499999999999994</v>
      </c>
      <c r="R7" s="61">
        <f t="shared" si="0"/>
        <v>0.23187681231876808</v>
      </c>
    </row>
    <row r="8" spans="2:18" x14ac:dyDescent="0.25">
      <c r="B8" s="2" t="s">
        <v>33</v>
      </c>
      <c r="C8" s="40">
        <v>5.8700000000000002E-2</v>
      </c>
      <c r="D8" s="41">
        <v>3.3799999999999997E-2</v>
      </c>
      <c r="E8" s="41">
        <v>2.58E-2</v>
      </c>
      <c r="F8" s="41">
        <v>6.1000000000000004E-3</v>
      </c>
      <c r="G8" s="41">
        <v>4.0000000000000001E-3</v>
      </c>
      <c r="H8" s="42">
        <v>1.1000000000000001E-3</v>
      </c>
      <c r="I8" s="43">
        <v>0.12949999999999998</v>
      </c>
      <c r="K8" s="2" t="s">
        <v>40</v>
      </c>
      <c r="L8" s="58">
        <f t="shared" si="0"/>
        <v>0.24842606772162668</v>
      </c>
      <c r="M8" s="59">
        <f t="shared" si="0"/>
        <v>0.22338403041825095</v>
      </c>
      <c r="N8" s="59">
        <f t="shared" si="0"/>
        <v>0.17164697706740792</v>
      </c>
      <c r="O8" s="59">
        <f t="shared" si="0"/>
        <v>0.15240641711229946</v>
      </c>
      <c r="P8" s="59">
        <f t="shared" si="0"/>
        <v>0.19496855345911948</v>
      </c>
      <c r="Q8" s="60">
        <f t="shared" si="0"/>
        <v>0.18749999999999997</v>
      </c>
      <c r="R8" s="61">
        <f t="shared" si="0"/>
        <v>0.22737726227377264</v>
      </c>
    </row>
    <row r="9" spans="2:18" x14ac:dyDescent="0.25">
      <c r="B9" s="2" t="s">
        <v>34</v>
      </c>
      <c r="C9" s="40">
        <v>5.8299999999999998E-2</v>
      </c>
      <c r="D9" s="41">
        <v>1.7600000000000001E-2</v>
      </c>
      <c r="E9" s="41">
        <v>1.9699999999999999E-2</v>
      </c>
      <c r="F9" s="41">
        <v>4.3E-3</v>
      </c>
      <c r="G9" s="41">
        <v>1.8E-3</v>
      </c>
      <c r="H9" s="42">
        <v>6.9999999999999999E-4</v>
      </c>
      <c r="I9" s="43">
        <v>0.10239999999999999</v>
      </c>
      <c r="K9" s="2" t="s">
        <v>42</v>
      </c>
      <c r="L9" s="58">
        <f t="shared" si="0"/>
        <v>5.427939424876637E-2</v>
      </c>
      <c r="M9" s="59">
        <f t="shared" si="0"/>
        <v>0.15209125475285171</v>
      </c>
      <c r="N9" s="59">
        <f t="shared" si="0"/>
        <v>0.18068102849200834</v>
      </c>
      <c r="O9" s="59">
        <f t="shared" si="0"/>
        <v>0.23262032085561493</v>
      </c>
      <c r="P9" s="59">
        <f t="shared" si="0"/>
        <v>0.20754716981132074</v>
      </c>
      <c r="Q9" s="60">
        <f t="shared" si="0"/>
        <v>0.16666666666666666</v>
      </c>
      <c r="R9" s="61">
        <f t="shared" si="0"/>
        <v>0.1026897310268973</v>
      </c>
    </row>
    <row r="10" spans="2:18" x14ac:dyDescent="0.25">
      <c r="B10" s="2" t="s">
        <v>35</v>
      </c>
      <c r="C10" s="40">
        <v>0</v>
      </c>
      <c r="D10" s="41">
        <v>5.8999999999999999E-3</v>
      </c>
      <c r="E10" s="41">
        <v>7.1000000000000004E-3</v>
      </c>
      <c r="F10" s="41">
        <v>3.0000000000000001E-3</v>
      </c>
      <c r="G10" s="41">
        <v>1.9E-3</v>
      </c>
      <c r="H10" s="42">
        <v>5.9999999999999995E-4</v>
      </c>
      <c r="I10" s="43">
        <v>1.8499999999999999E-2</v>
      </c>
      <c r="K10" s="44" t="s">
        <v>30</v>
      </c>
      <c r="L10" s="62">
        <f t="shared" ref="L10:R10" si="1">SUM(L6:L9)</f>
        <v>1</v>
      </c>
      <c r="M10" s="63">
        <f t="shared" si="1"/>
        <v>0.99999999999999989</v>
      </c>
      <c r="N10" s="63">
        <f t="shared" si="1"/>
        <v>1</v>
      </c>
      <c r="O10" s="63">
        <f t="shared" si="1"/>
        <v>0.99999999999999989</v>
      </c>
      <c r="P10" s="63">
        <f t="shared" si="1"/>
        <v>0.99999999999999989</v>
      </c>
      <c r="Q10" s="64">
        <f t="shared" si="1"/>
        <v>0.99999999999999989</v>
      </c>
      <c r="R10" s="63">
        <f t="shared" si="1"/>
        <v>1</v>
      </c>
    </row>
    <row r="11" spans="2:18" x14ac:dyDescent="0.25">
      <c r="B11" s="2" t="s">
        <v>36</v>
      </c>
      <c r="C11" s="40">
        <v>3.0200000000000001E-2</v>
      </c>
      <c r="D11" s="41">
        <v>1.3100000000000001E-2</v>
      </c>
      <c r="E11" s="41">
        <v>1.0800000000000001E-2</v>
      </c>
      <c r="F11" s="41">
        <v>3.7000000000000002E-3</v>
      </c>
      <c r="G11" s="41">
        <v>5.9999999999999995E-4</v>
      </c>
      <c r="H11" s="42">
        <v>2.9999999999999997E-4</v>
      </c>
      <c r="I11" s="43">
        <v>5.8700000000000016E-2</v>
      </c>
    </row>
    <row r="12" spans="2:18" x14ac:dyDescent="0.25">
      <c r="B12" s="2" t="s">
        <v>37</v>
      </c>
      <c r="C12" s="40">
        <v>0.14599999999999999</v>
      </c>
      <c r="D12" s="41">
        <v>4.1099999999999998E-2</v>
      </c>
      <c r="E12" s="41">
        <v>1.7600000000000001E-2</v>
      </c>
      <c r="F12" s="41">
        <v>2.7000000000000001E-3</v>
      </c>
      <c r="G12" s="41">
        <v>1.1999999999999999E-3</v>
      </c>
      <c r="H12" s="42">
        <v>2.9999999999999997E-4</v>
      </c>
      <c r="I12" s="43">
        <v>0.2089</v>
      </c>
    </row>
    <row r="13" spans="2:18" x14ac:dyDescent="0.25">
      <c r="B13" s="2" t="s">
        <v>38</v>
      </c>
      <c r="C13" s="40">
        <v>3.1899999999999998E-2</v>
      </c>
      <c r="D13" s="41">
        <v>3.2000000000000001E-2</v>
      </c>
      <c r="E13" s="41">
        <v>2.5999999999999999E-2</v>
      </c>
      <c r="F13" s="41">
        <v>8.6999999999999994E-3</v>
      </c>
      <c r="G13" s="41">
        <v>3.3E-3</v>
      </c>
      <c r="H13" s="42">
        <v>8.0000000000000004E-4</v>
      </c>
      <c r="I13" s="43">
        <v>0.10269999999999999</v>
      </c>
    </row>
    <row r="14" spans="2:18" x14ac:dyDescent="0.25">
      <c r="B14" s="44" t="s">
        <v>30</v>
      </c>
      <c r="C14" s="45">
        <v>0.58770000000000011</v>
      </c>
      <c r="D14" s="46">
        <v>0.2104</v>
      </c>
      <c r="E14" s="46">
        <v>0.1439</v>
      </c>
      <c r="F14" s="46">
        <v>3.7399999999999996E-2</v>
      </c>
      <c r="G14" s="46">
        <v>1.5900000000000001E-2</v>
      </c>
      <c r="H14" s="47">
        <v>4.8000000000000004E-3</v>
      </c>
      <c r="I14" s="46">
        <v>1.0000999999999998</v>
      </c>
    </row>
    <row r="16" spans="2:18" x14ac:dyDescent="0.25">
      <c r="B16" s="186" t="s">
        <v>43</v>
      </c>
      <c r="C16" s="186"/>
      <c r="D16" s="186"/>
      <c r="E16" s="186"/>
      <c r="F16" s="186"/>
      <c r="G16" s="186"/>
      <c r="H16" s="186"/>
      <c r="I16" s="186"/>
    </row>
    <row r="18" spans="2:9" x14ac:dyDescent="0.25">
      <c r="C18" s="187" t="s">
        <v>0</v>
      </c>
      <c r="D18" s="186"/>
      <c r="E18" s="186"/>
      <c r="F18" s="186"/>
      <c r="G18" s="186"/>
      <c r="H18" s="186"/>
      <c r="I18" s="186"/>
    </row>
    <row r="19" spans="2:9" x14ac:dyDescent="0.25">
      <c r="B19" s="36" t="s">
        <v>29</v>
      </c>
      <c r="C19" s="37">
        <v>1</v>
      </c>
      <c r="D19" s="36">
        <v>2</v>
      </c>
      <c r="E19" s="36">
        <v>3</v>
      </c>
      <c r="F19" s="36">
        <v>4</v>
      </c>
      <c r="G19" s="36">
        <v>5</v>
      </c>
      <c r="H19" s="38">
        <v>6</v>
      </c>
      <c r="I19" s="36" t="s">
        <v>30</v>
      </c>
    </row>
    <row r="20" spans="2:9" x14ac:dyDescent="0.25">
      <c r="B20" s="2" t="s">
        <v>41</v>
      </c>
      <c r="C20" s="51">
        <f t="shared" ref="C20:H20" si="2">C6+C7+C11</f>
        <v>0.2928</v>
      </c>
      <c r="D20" s="52">
        <f t="shared" si="2"/>
        <v>0.08</v>
      </c>
      <c r="E20" s="52">
        <f t="shared" si="2"/>
        <v>4.7700000000000006E-2</v>
      </c>
      <c r="F20" s="52">
        <f t="shared" si="2"/>
        <v>1.26E-2</v>
      </c>
      <c r="G20" s="52">
        <f t="shared" si="2"/>
        <v>3.7000000000000002E-3</v>
      </c>
      <c r="H20" s="53">
        <f t="shared" si="2"/>
        <v>1.2999999999999999E-3</v>
      </c>
      <c r="I20" s="54">
        <f>SUM(C20:H20)</f>
        <v>0.43810000000000004</v>
      </c>
    </row>
    <row r="21" spans="2:9" x14ac:dyDescent="0.25">
      <c r="B21" s="2" t="s">
        <v>39</v>
      </c>
      <c r="C21" s="51">
        <f t="shared" ref="C21:H21" si="3">C8+C9</f>
        <v>0.11699999999999999</v>
      </c>
      <c r="D21" s="52">
        <f t="shared" si="3"/>
        <v>5.1400000000000001E-2</v>
      </c>
      <c r="E21" s="52">
        <f t="shared" si="3"/>
        <v>4.5499999999999999E-2</v>
      </c>
      <c r="F21" s="52">
        <f t="shared" si="3"/>
        <v>1.04E-2</v>
      </c>
      <c r="G21" s="52">
        <f t="shared" si="3"/>
        <v>5.7999999999999996E-3</v>
      </c>
      <c r="H21" s="53">
        <f t="shared" si="3"/>
        <v>1.8E-3</v>
      </c>
      <c r="I21" s="54">
        <f t="shared" ref="I21:I23" si="4">SUM(C21:H21)</f>
        <v>0.23189999999999997</v>
      </c>
    </row>
    <row r="22" spans="2:9" x14ac:dyDescent="0.25">
      <c r="B22" s="2" t="s">
        <v>40</v>
      </c>
      <c r="C22" s="51">
        <f t="shared" ref="C22:H22" si="5">C10+C12</f>
        <v>0.14599999999999999</v>
      </c>
      <c r="D22" s="52">
        <f t="shared" si="5"/>
        <v>4.7E-2</v>
      </c>
      <c r="E22" s="52">
        <f t="shared" si="5"/>
        <v>2.47E-2</v>
      </c>
      <c r="F22" s="52">
        <f t="shared" si="5"/>
        <v>5.7000000000000002E-3</v>
      </c>
      <c r="G22" s="52">
        <f t="shared" si="5"/>
        <v>3.0999999999999999E-3</v>
      </c>
      <c r="H22" s="53">
        <f t="shared" si="5"/>
        <v>8.9999999999999998E-4</v>
      </c>
      <c r="I22" s="54">
        <f t="shared" si="4"/>
        <v>0.22740000000000002</v>
      </c>
    </row>
    <row r="23" spans="2:9" x14ac:dyDescent="0.25">
      <c r="B23" s="2" t="s">
        <v>42</v>
      </c>
      <c r="C23" s="51">
        <f t="shared" ref="C23:H23" si="6">C13</f>
        <v>3.1899999999999998E-2</v>
      </c>
      <c r="D23" s="52">
        <f t="shared" si="6"/>
        <v>3.2000000000000001E-2</v>
      </c>
      <c r="E23" s="52">
        <f t="shared" si="6"/>
        <v>2.5999999999999999E-2</v>
      </c>
      <c r="F23" s="52">
        <f t="shared" si="6"/>
        <v>8.6999999999999994E-3</v>
      </c>
      <c r="G23" s="52">
        <f t="shared" si="6"/>
        <v>3.3E-3</v>
      </c>
      <c r="H23" s="53">
        <f t="shared" si="6"/>
        <v>8.0000000000000004E-4</v>
      </c>
      <c r="I23" s="54">
        <f t="shared" si="4"/>
        <v>0.10269999999999999</v>
      </c>
    </row>
    <row r="24" spans="2:9" x14ac:dyDescent="0.25">
      <c r="B24" s="44" t="s">
        <v>30</v>
      </c>
      <c r="C24" s="55">
        <f t="shared" ref="C24:I24" si="7">SUM(C20:C23)</f>
        <v>0.5877</v>
      </c>
      <c r="D24" s="56">
        <f t="shared" si="7"/>
        <v>0.2104</v>
      </c>
      <c r="E24" s="56">
        <f t="shared" si="7"/>
        <v>0.1439</v>
      </c>
      <c r="F24" s="56">
        <f t="shared" si="7"/>
        <v>3.7400000000000003E-2</v>
      </c>
      <c r="G24" s="56">
        <f t="shared" si="7"/>
        <v>1.5900000000000001E-2</v>
      </c>
      <c r="H24" s="57">
        <f t="shared" si="7"/>
        <v>4.8000000000000004E-3</v>
      </c>
      <c r="I24" s="56">
        <f t="shared" si="7"/>
        <v>1.0001</v>
      </c>
    </row>
  </sheetData>
  <mergeCells count="6">
    <mergeCell ref="B2:I2"/>
    <mergeCell ref="B16:I16"/>
    <mergeCell ref="C4:I4"/>
    <mergeCell ref="C18:I18"/>
    <mergeCell ref="K2:R2"/>
    <mergeCell ref="L4:R4"/>
  </mergeCell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68E09-B632-4227-B625-6F699196F309}">
  <sheetPr>
    <tabColor rgb="FF00BED2"/>
  </sheetPr>
  <dimension ref="B2:AA32"/>
  <sheetViews>
    <sheetView workbookViewId="0">
      <selection activeCell="K27" sqref="K27:Q30"/>
    </sheetView>
  </sheetViews>
  <sheetFormatPr defaultRowHeight="15" x14ac:dyDescent="0.25"/>
  <cols>
    <col min="1" max="1" width="2.7109375" style="2" customWidth="1"/>
    <col min="2" max="2" width="39.42578125" style="2" bestFit="1" customWidth="1"/>
    <col min="3" max="9" width="9.140625" style="2"/>
    <col min="10" max="10" width="2.7109375" style="2" customWidth="1"/>
    <col min="11" max="11" width="39.42578125" style="2" bestFit="1" customWidth="1"/>
    <col min="12" max="18" width="9.140625" style="2"/>
    <col min="19" max="19" width="2.7109375" style="2" customWidth="1"/>
    <col min="20" max="20" width="39.42578125" style="2" bestFit="1" customWidth="1"/>
    <col min="21" max="21" width="10.140625" style="2" bestFit="1" customWidth="1"/>
    <col min="22" max="27" width="9.140625" style="2"/>
    <col min="28" max="28" width="2.7109375" style="2" customWidth="1"/>
    <col min="29" max="16384" width="9.140625" style="2"/>
  </cols>
  <sheetData>
    <row r="2" spans="2:27" x14ac:dyDescent="0.25">
      <c r="B2" s="195" t="s">
        <v>46</v>
      </c>
      <c r="C2" s="195"/>
      <c r="D2" s="195"/>
      <c r="E2" s="195"/>
      <c r="F2" s="195"/>
      <c r="G2" s="195"/>
      <c r="H2" s="195"/>
      <c r="I2" s="195"/>
      <c r="K2" s="196" t="s">
        <v>47</v>
      </c>
      <c r="L2" s="196"/>
      <c r="M2" s="196"/>
      <c r="N2" s="196"/>
      <c r="O2" s="196"/>
      <c r="P2" s="196"/>
      <c r="Q2" s="196"/>
      <c r="R2" s="196"/>
      <c r="T2" s="197" t="s">
        <v>53</v>
      </c>
      <c r="U2" s="197"/>
      <c r="V2" s="197"/>
      <c r="W2" s="197"/>
      <c r="X2" s="197"/>
      <c r="Y2" s="197"/>
      <c r="Z2" s="197"/>
      <c r="AA2" s="197"/>
    </row>
    <row r="3" spans="2:27" x14ac:dyDescent="0.25">
      <c r="T3" s="106"/>
      <c r="U3" s="106"/>
      <c r="V3" s="106"/>
      <c r="W3" s="106"/>
      <c r="X3" s="106"/>
      <c r="Y3" s="106"/>
      <c r="Z3" s="106"/>
      <c r="AA3" s="106"/>
    </row>
    <row r="4" spans="2:27" x14ac:dyDescent="0.25">
      <c r="C4" s="198" t="s">
        <v>56</v>
      </c>
      <c r="D4" s="195"/>
      <c r="E4" s="195"/>
      <c r="F4" s="195"/>
      <c r="G4" s="195"/>
      <c r="H4" s="195"/>
      <c r="I4" s="195"/>
      <c r="L4" s="199" t="s">
        <v>56</v>
      </c>
      <c r="M4" s="196"/>
      <c r="N4" s="196"/>
      <c r="O4" s="196"/>
      <c r="P4" s="196"/>
      <c r="Q4" s="196"/>
      <c r="R4" s="196"/>
      <c r="T4" s="106"/>
      <c r="U4" s="200" t="s">
        <v>0</v>
      </c>
      <c r="V4" s="197"/>
      <c r="W4" s="197"/>
      <c r="X4" s="197"/>
      <c r="Y4" s="197"/>
      <c r="Z4" s="197"/>
      <c r="AA4" s="197"/>
    </row>
    <row r="5" spans="2:27" x14ac:dyDescent="0.25">
      <c r="B5" s="83" t="s">
        <v>29</v>
      </c>
      <c r="C5" s="85" t="s">
        <v>45</v>
      </c>
      <c r="D5" s="84" t="s">
        <v>21</v>
      </c>
      <c r="E5" s="84" t="s">
        <v>22</v>
      </c>
      <c r="F5" s="84" t="s">
        <v>23</v>
      </c>
      <c r="G5" s="84" t="s">
        <v>24</v>
      </c>
      <c r="H5" s="84" t="s">
        <v>25</v>
      </c>
      <c r="I5" s="87" t="s">
        <v>30</v>
      </c>
      <c r="K5" s="89" t="s">
        <v>29</v>
      </c>
      <c r="L5" s="90" t="s">
        <v>45</v>
      </c>
      <c r="M5" s="91" t="s">
        <v>21</v>
      </c>
      <c r="N5" s="91" t="s">
        <v>22</v>
      </c>
      <c r="O5" s="91" t="s">
        <v>23</v>
      </c>
      <c r="P5" s="91" t="s">
        <v>24</v>
      </c>
      <c r="Q5" s="91" t="s">
        <v>25</v>
      </c>
      <c r="R5" s="95" t="s">
        <v>30</v>
      </c>
      <c r="T5" s="110" t="s">
        <v>29</v>
      </c>
      <c r="U5" s="111" t="s">
        <v>45</v>
      </c>
      <c r="V5" s="112" t="s">
        <v>21</v>
      </c>
      <c r="W5" s="112" t="s">
        <v>22</v>
      </c>
      <c r="X5" s="112" t="s">
        <v>23</v>
      </c>
      <c r="Y5" s="112" t="s">
        <v>24</v>
      </c>
      <c r="Z5" s="112" t="s">
        <v>25</v>
      </c>
      <c r="AA5" s="113" t="s">
        <v>30</v>
      </c>
    </row>
    <row r="6" spans="2:27" x14ac:dyDescent="0.25">
      <c r="B6" s="104" t="s">
        <v>41</v>
      </c>
      <c r="C6" s="86">
        <f>U6</f>
        <v>0.49821337417049516</v>
      </c>
      <c r="D6" s="59">
        <f t="shared" ref="D6:I9" si="0">V6</f>
        <v>0.38022813688212925</v>
      </c>
      <c r="E6" s="59">
        <f t="shared" si="0"/>
        <v>0.33148019457956918</v>
      </c>
      <c r="F6" s="59">
        <f t="shared" si="0"/>
        <v>0.33689839572192509</v>
      </c>
      <c r="G6" s="59">
        <f t="shared" si="0"/>
        <v>0.23270440251572327</v>
      </c>
      <c r="H6" s="59">
        <f t="shared" si="0"/>
        <v>0.27083333333333331</v>
      </c>
      <c r="I6" s="86">
        <f t="shared" si="0"/>
        <v>0.43805619438056198</v>
      </c>
      <c r="K6" s="104" t="s">
        <v>41</v>
      </c>
      <c r="L6" s="88">
        <f>U6</f>
        <v>0.49821337417049516</v>
      </c>
      <c r="M6" s="78">
        <f t="shared" ref="M6:R9" si="1">V6</f>
        <v>0.38022813688212925</v>
      </c>
      <c r="N6" s="78">
        <f t="shared" si="1"/>
        <v>0.33148019457956918</v>
      </c>
      <c r="O6" s="78">
        <f t="shared" si="1"/>
        <v>0.33689839572192509</v>
      </c>
      <c r="P6" s="78">
        <f t="shared" si="1"/>
        <v>0.23270440251572327</v>
      </c>
      <c r="Q6" s="78">
        <f t="shared" si="1"/>
        <v>0.27083333333333331</v>
      </c>
      <c r="R6" s="88">
        <f t="shared" si="1"/>
        <v>0.43805619438056198</v>
      </c>
      <c r="T6" s="106" t="s">
        <v>41</v>
      </c>
      <c r="U6" s="108">
        <f>'CALC | TASK STD'!L6</f>
        <v>0.49821337417049516</v>
      </c>
      <c r="V6" s="107">
        <f>'CALC | TASK STD'!M6</f>
        <v>0.38022813688212925</v>
      </c>
      <c r="W6" s="107">
        <f>'CALC | TASK STD'!N6</f>
        <v>0.33148019457956918</v>
      </c>
      <c r="X6" s="107">
        <f>'CALC | TASK STD'!O6</f>
        <v>0.33689839572192509</v>
      </c>
      <c r="Y6" s="107">
        <f>'CALC | TASK STD'!P6</f>
        <v>0.23270440251572327</v>
      </c>
      <c r="Z6" s="107">
        <f>'CALC | TASK STD'!Q6</f>
        <v>0.27083333333333331</v>
      </c>
      <c r="AA6" s="109">
        <f>'CALC | TASK STD'!R6</f>
        <v>0.43805619438056198</v>
      </c>
    </row>
    <row r="7" spans="2:27" x14ac:dyDescent="0.25">
      <c r="B7" s="2" t="s">
        <v>39</v>
      </c>
      <c r="C7" s="86">
        <f t="shared" ref="C7:C9" si="2">U7</f>
        <v>0.19908116385911179</v>
      </c>
      <c r="D7" s="59">
        <f t="shared" si="0"/>
        <v>0.24429657794676807</v>
      </c>
      <c r="E7" s="59">
        <f t="shared" si="0"/>
        <v>0.31619179986101459</v>
      </c>
      <c r="F7" s="59">
        <f t="shared" si="0"/>
        <v>0.27807486631016037</v>
      </c>
      <c r="G7" s="59">
        <f t="shared" si="0"/>
        <v>0.36477987421383645</v>
      </c>
      <c r="H7" s="59">
        <f t="shared" si="0"/>
        <v>0.37499999999999994</v>
      </c>
      <c r="I7" s="86">
        <f t="shared" si="0"/>
        <v>0.23187681231876808</v>
      </c>
      <c r="K7" s="2" t="s">
        <v>39</v>
      </c>
      <c r="L7" s="88">
        <f t="shared" ref="L7:L9" si="3">U7</f>
        <v>0.19908116385911179</v>
      </c>
      <c r="M7" s="78">
        <f t="shared" si="1"/>
        <v>0.24429657794676807</v>
      </c>
      <c r="N7" s="78">
        <f t="shared" si="1"/>
        <v>0.31619179986101459</v>
      </c>
      <c r="O7" s="78">
        <f t="shared" si="1"/>
        <v>0.27807486631016037</v>
      </c>
      <c r="P7" s="78">
        <f t="shared" si="1"/>
        <v>0.36477987421383645</v>
      </c>
      <c r="Q7" s="78">
        <f t="shared" si="1"/>
        <v>0.37499999999999994</v>
      </c>
      <c r="R7" s="88">
        <f t="shared" si="1"/>
        <v>0.23187681231876808</v>
      </c>
      <c r="T7" s="106" t="s">
        <v>39</v>
      </c>
      <c r="U7" s="108">
        <f>'CALC | TASK STD'!L7</f>
        <v>0.19908116385911179</v>
      </c>
      <c r="V7" s="107">
        <f>'CALC | TASK STD'!M7</f>
        <v>0.24429657794676807</v>
      </c>
      <c r="W7" s="107">
        <f>'CALC | TASK STD'!N7</f>
        <v>0.31619179986101459</v>
      </c>
      <c r="X7" s="107">
        <f>'CALC | TASK STD'!O7</f>
        <v>0.27807486631016037</v>
      </c>
      <c r="Y7" s="107">
        <f>'CALC | TASK STD'!P7</f>
        <v>0.36477987421383645</v>
      </c>
      <c r="Z7" s="107">
        <f>'CALC | TASK STD'!Q7</f>
        <v>0.37499999999999994</v>
      </c>
      <c r="AA7" s="109">
        <f>'CALC | TASK STD'!R7</f>
        <v>0.23187681231876808</v>
      </c>
    </row>
    <row r="8" spans="2:27" x14ac:dyDescent="0.25">
      <c r="B8" s="2" t="s">
        <v>40</v>
      </c>
      <c r="C8" s="86">
        <f t="shared" si="2"/>
        <v>0.24842606772162668</v>
      </c>
      <c r="D8" s="59">
        <f t="shared" si="0"/>
        <v>0.22338403041825095</v>
      </c>
      <c r="E8" s="59">
        <f t="shared" si="0"/>
        <v>0.17164697706740792</v>
      </c>
      <c r="F8" s="59">
        <f t="shared" si="0"/>
        <v>0.15240641711229946</v>
      </c>
      <c r="G8" s="59">
        <f t="shared" si="0"/>
        <v>0.19496855345911948</v>
      </c>
      <c r="H8" s="59">
        <f t="shared" si="0"/>
        <v>0.18749999999999997</v>
      </c>
      <c r="I8" s="86">
        <f t="shared" si="0"/>
        <v>0.22737726227377264</v>
      </c>
      <c r="K8" s="2" t="s">
        <v>40</v>
      </c>
      <c r="L8" s="88">
        <f t="shared" si="3"/>
        <v>0.24842606772162668</v>
      </c>
      <c r="M8" s="78">
        <f t="shared" si="1"/>
        <v>0.22338403041825095</v>
      </c>
      <c r="N8" s="78">
        <f t="shared" si="1"/>
        <v>0.17164697706740792</v>
      </c>
      <c r="O8" s="78">
        <f t="shared" si="1"/>
        <v>0.15240641711229946</v>
      </c>
      <c r="P8" s="78">
        <f t="shared" si="1"/>
        <v>0.19496855345911948</v>
      </c>
      <c r="Q8" s="78">
        <f t="shared" si="1"/>
        <v>0.18749999999999997</v>
      </c>
      <c r="R8" s="88">
        <f t="shared" si="1"/>
        <v>0.22737726227377264</v>
      </c>
      <c r="T8" s="106" t="s">
        <v>40</v>
      </c>
      <c r="U8" s="108">
        <f>'CALC | TASK STD'!L8</f>
        <v>0.24842606772162668</v>
      </c>
      <c r="V8" s="107">
        <f>'CALC | TASK STD'!M8</f>
        <v>0.22338403041825095</v>
      </c>
      <c r="W8" s="107">
        <f>'CALC | TASK STD'!N8</f>
        <v>0.17164697706740792</v>
      </c>
      <c r="X8" s="107">
        <f>'CALC | TASK STD'!O8</f>
        <v>0.15240641711229946</v>
      </c>
      <c r="Y8" s="107">
        <f>'CALC | TASK STD'!P8</f>
        <v>0.19496855345911948</v>
      </c>
      <c r="Z8" s="107">
        <f>'CALC | TASK STD'!Q8</f>
        <v>0.18749999999999997</v>
      </c>
      <c r="AA8" s="109">
        <f>'CALC | TASK STD'!R8</f>
        <v>0.22737726227377264</v>
      </c>
    </row>
    <row r="9" spans="2:27" x14ac:dyDescent="0.25">
      <c r="B9" s="2" t="s">
        <v>42</v>
      </c>
      <c r="C9" s="86">
        <f t="shared" si="2"/>
        <v>5.427939424876637E-2</v>
      </c>
      <c r="D9" s="59">
        <f t="shared" si="0"/>
        <v>0.15209125475285171</v>
      </c>
      <c r="E9" s="59">
        <f t="shared" si="0"/>
        <v>0.18068102849200834</v>
      </c>
      <c r="F9" s="59">
        <f t="shared" si="0"/>
        <v>0.23262032085561493</v>
      </c>
      <c r="G9" s="59">
        <f t="shared" si="0"/>
        <v>0.20754716981132074</v>
      </c>
      <c r="H9" s="59">
        <f t="shared" si="0"/>
        <v>0.16666666666666666</v>
      </c>
      <c r="I9" s="86">
        <f t="shared" si="0"/>
        <v>0.1026897310268973</v>
      </c>
      <c r="K9" s="2" t="s">
        <v>42</v>
      </c>
      <c r="L9" s="88">
        <f t="shared" si="3"/>
        <v>5.427939424876637E-2</v>
      </c>
      <c r="M9" s="78">
        <f t="shared" si="1"/>
        <v>0.15209125475285171</v>
      </c>
      <c r="N9" s="78">
        <f t="shared" si="1"/>
        <v>0.18068102849200834</v>
      </c>
      <c r="O9" s="78">
        <f t="shared" si="1"/>
        <v>0.23262032085561493</v>
      </c>
      <c r="P9" s="78">
        <f t="shared" si="1"/>
        <v>0.20754716981132074</v>
      </c>
      <c r="Q9" s="78">
        <f t="shared" si="1"/>
        <v>0.16666666666666666</v>
      </c>
      <c r="R9" s="88">
        <f t="shared" si="1"/>
        <v>0.1026897310268973</v>
      </c>
      <c r="T9" s="106" t="s">
        <v>42</v>
      </c>
      <c r="U9" s="108">
        <f>'CALC | TASK STD'!L9</f>
        <v>5.427939424876637E-2</v>
      </c>
      <c r="V9" s="107">
        <f>'CALC | TASK STD'!M9</f>
        <v>0.15209125475285171</v>
      </c>
      <c r="W9" s="107">
        <f>'CALC | TASK STD'!N9</f>
        <v>0.18068102849200834</v>
      </c>
      <c r="X9" s="107">
        <f>'CALC | TASK STD'!O9</f>
        <v>0.23262032085561493</v>
      </c>
      <c r="Y9" s="107">
        <f>'CALC | TASK STD'!P9</f>
        <v>0.20754716981132074</v>
      </c>
      <c r="Z9" s="107">
        <f>'CALC | TASK STD'!Q9</f>
        <v>0.16666666666666666</v>
      </c>
      <c r="AA9" s="109">
        <f>'CALC | TASK STD'!R9</f>
        <v>0.1026897310268973</v>
      </c>
    </row>
    <row r="10" spans="2:27" x14ac:dyDescent="0.25">
      <c r="B10" s="92" t="s">
        <v>30</v>
      </c>
      <c r="C10" s="93">
        <f t="shared" ref="C10:I10" si="4">SUM(C6:C9)</f>
        <v>1</v>
      </c>
      <c r="D10" s="94">
        <f t="shared" si="4"/>
        <v>0.99999999999999989</v>
      </c>
      <c r="E10" s="94">
        <f t="shared" si="4"/>
        <v>1</v>
      </c>
      <c r="F10" s="94">
        <f t="shared" si="4"/>
        <v>0.99999999999999989</v>
      </c>
      <c r="G10" s="94">
        <f t="shared" si="4"/>
        <v>0.99999999999999989</v>
      </c>
      <c r="H10" s="94">
        <f t="shared" si="4"/>
        <v>0.99999999999999989</v>
      </c>
      <c r="I10" s="93">
        <f t="shared" si="4"/>
        <v>1</v>
      </c>
      <c r="K10" s="92" t="s">
        <v>30</v>
      </c>
      <c r="L10" s="93">
        <f t="shared" ref="L10:R10" si="5">SUM(L6:L9)</f>
        <v>1</v>
      </c>
      <c r="M10" s="94">
        <f t="shared" si="5"/>
        <v>0.99999999999999989</v>
      </c>
      <c r="N10" s="94">
        <f t="shared" si="5"/>
        <v>1</v>
      </c>
      <c r="O10" s="94">
        <f t="shared" si="5"/>
        <v>0.99999999999999989</v>
      </c>
      <c r="P10" s="94">
        <f t="shared" si="5"/>
        <v>0.99999999999999989</v>
      </c>
      <c r="Q10" s="94">
        <f t="shared" si="5"/>
        <v>0.99999999999999989</v>
      </c>
      <c r="R10" s="93">
        <f t="shared" si="5"/>
        <v>1</v>
      </c>
      <c r="T10" s="114" t="s">
        <v>30</v>
      </c>
      <c r="U10" s="115">
        <f t="shared" ref="U10:AA10" si="6">SUM(U6:U9)</f>
        <v>1</v>
      </c>
      <c r="V10" s="116">
        <f t="shared" si="6"/>
        <v>0.99999999999999989</v>
      </c>
      <c r="W10" s="116">
        <f t="shared" si="6"/>
        <v>1</v>
      </c>
      <c r="X10" s="116">
        <f t="shared" si="6"/>
        <v>0.99999999999999989</v>
      </c>
      <c r="Y10" s="116">
        <f t="shared" si="6"/>
        <v>0.99999999999999989</v>
      </c>
      <c r="Z10" s="116">
        <f t="shared" si="6"/>
        <v>0.99999999999999989</v>
      </c>
      <c r="AA10" s="115">
        <f t="shared" si="6"/>
        <v>1</v>
      </c>
    </row>
    <row r="12" spans="2:27" x14ac:dyDescent="0.25">
      <c r="B12" s="184" t="s">
        <v>48</v>
      </c>
      <c r="C12" s="184"/>
      <c r="D12" s="184"/>
      <c r="E12" s="184"/>
      <c r="F12" s="184"/>
      <c r="G12" s="184"/>
      <c r="H12" s="184"/>
      <c r="I12" s="184"/>
      <c r="K12" s="192" t="s">
        <v>49</v>
      </c>
      <c r="L12" s="192"/>
      <c r="M12" s="192"/>
      <c r="N12" s="192"/>
      <c r="O12" s="192"/>
      <c r="P12" s="192"/>
      <c r="Q12" s="192"/>
      <c r="R12" s="192"/>
      <c r="AA12" s="1"/>
    </row>
    <row r="14" spans="2:27" x14ac:dyDescent="0.25">
      <c r="C14" s="193" t="s">
        <v>56</v>
      </c>
      <c r="D14" s="184"/>
      <c r="E14" s="184"/>
      <c r="F14" s="184"/>
      <c r="G14" s="184"/>
      <c r="H14" s="184"/>
      <c r="I14" s="184"/>
      <c r="L14" s="194" t="s">
        <v>56</v>
      </c>
      <c r="M14" s="192"/>
      <c r="N14" s="192"/>
      <c r="O14" s="192"/>
      <c r="P14" s="192"/>
      <c r="Q14" s="192"/>
      <c r="R14" s="192"/>
    </row>
    <row r="15" spans="2:27" x14ac:dyDescent="0.25">
      <c r="B15" s="100" t="s">
        <v>29</v>
      </c>
      <c r="C15" s="101" t="s">
        <v>45</v>
      </c>
      <c r="D15" s="102" t="s">
        <v>21</v>
      </c>
      <c r="E15" s="102" t="s">
        <v>22</v>
      </c>
      <c r="F15" s="102" t="s">
        <v>23</v>
      </c>
      <c r="G15" s="102" t="s">
        <v>24</v>
      </c>
      <c r="H15" s="102" t="s">
        <v>25</v>
      </c>
      <c r="I15" s="103" t="s">
        <v>30</v>
      </c>
      <c r="K15" s="96" t="s">
        <v>29</v>
      </c>
      <c r="L15" s="97" t="s">
        <v>45</v>
      </c>
      <c r="M15" s="98" t="s">
        <v>21</v>
      </c>
      <c r="N15" s="98" t="s">
        <v>22</v>
      </c>
      <c r="O15" s="98" t="s">
        <v>23</v>
      </c>
      <c r="P15" s="98" t="s">
        <v>24</v>
      </c>
      <c r="Q15" s="98" t="s">
        <v>25</v>
      </c>
      <c r="R15" s="99" t="s">
        <v>30</v>
      </c>
    </row>
    <row r="16" spans="2:27" x14ac:dyDescent="0.25">
      <c r="B16" s="104" t="s">
        <v>41</v>
      </c>
      <c r="C16" s="86">
        <f t="shared" ref="C16:I19" si="7">U6</f>
        <v>0.49821337417049516</v>
      </c>
      <c r="D16" s="59">
        <f t="shared" si="7"/>
        <v>0.38022813688212925</v>
      </c>
      <c r="E16" s="59">
        <f t="shared" si="7"/>
        <v>0.33148019457956918</v>
      </c>
      <c r="F16" s="59">
        <f t="shared" si="7"/>
        <v>0.33689839572192509</v>
      </c>
      <c r="G16" s="59">
        <f t="shared" si="7"/>
        <v>0.23270440251572327</v>
      </c>
      <c r="H16" s="59">
        <f t="shared" si="7"/>
        <v>0.27083333333333331</v>
      </c>
      <c r="I16" s="86">
        <f t="shared" si="7"/>
        <v>0.43805619438056198</v>
      </c>
      <c r="K16" s="104" t="s">
        <v>41</v>
      </c>
      <c r="L16" s="86">
        <f t="shared" ref="L16:R19" si="8">U6</f>
        <v>0.49821337417049516</v>
      </c>
      <c r="M16" s="59">
        <f t="shared" si="8"/>
        <v>0.38022813688212925</v>
      </c>
      <c r="N16" s="59">
        <f t="shared" si="8"/>
        <v>0.33148019457956918</v>
      </c>
      <c r="O16" s="59">
        <f t="shared" si="8"/>
        <v>0.33689839572192509</v>
      </c>
      <c r="P16" s="59">
        <f t="shared" si="8"/>
        <v>0.23270440251572327</v>
      </c>
      <c r="Q16" s="59">
        <f t="shared" si="8"/>
        <v>0.27083333333333331</v>
      </c>
      <c r="R16" s="86">
        <f t="shared" si="8"/>
        <v>0.43805619438056198</v>
      </c>
    </row>
    <row r="17" spans="2:18" x14ac:dyDescent="0.25">
      <c r="B17" s="2" t="s">
        <v>39</v>
      </c>
      <c r="C17" s="86">
        <f t="shared" si="7"/>
        <v>0.19908116385911179</v>
      </c>
      <c r="D17" s="59">
        <f t="shared" si="7"/>
        <v>0.24429657794676807</v>
      </c>
      <c r="E17" s="59">
        <f t="shared" si="7"/>
        <v>0.31619179986101459</v>
      </c>
      <c r="F17" s="59">
        <f t="shared" si="7"/>
        <v>0.27807486631016037</v>
      </c>
      <c r="G17" s="59">
        <f t="shared" si="7"/>
        <v>0.36477987421383645</v>
      </c>
      <c r="H17" s="59">
        <f t="shared" si="7"/>
        <v>0.37499999999999994</v>
      </c>
      <c r="I17" s="86">
        <f t="shared" si="7"/>
        <v>0.23187681231876808</v>
      </c>
      <c r="K17" s="2" t="s">
        <v>39</v>
      </c>
      <c r="L17" s="86">
        <f t="shared" si="8"/>
        <v>0.19908116385911179</v>
      </c>
      <c r="M17" s="59">
        <f t="shared" si="8"/>
        <v>0.24429657794676807</v>
      </c>
      <c r="N17" s="59">
        <f t="shared" si="8"/>
        <v>0.31619179986101459</v>
      </c>
      <c r="O17" s="59">
        <f t="shared" si="8"/>
        <v>0.27807486631016037</v>
      </c>
      <c r="P17" s="59">
        <f t="shared" si="8"/>
        <v>0.36477987421383645</v>
      </c>
      <c r="Q17" s="59">
        <f t="shared" si="8"/>
        <v>0.37499999999999994</v>
      </c>
      <c r="R17" s="86">
        <f t="shared" si="8"/>
        <v>0.23187681231876808</v>
      </c>
    </row>
    <row r="18" spans="2:18" x14ac:dyDescent="0.25">
      <c r="B18" s="2" t="s">
        <v>40</v>
      </c>
      <c r="C18" s="86">
        <f t="shared" si="7"/>
        <v>0.24842606772162668</v>
      </c>
      <c r="D18" s="59">
        <f t="shared" si="7"/>
        <v>0.22338403041825095</v>
      </c>
      <c r="E18" s="59">
        <f t="shared" si="7"/>
        <v>0.17164697706740792</v>
      </c>
      <c r="F18" s="59">
        <f t="shared" si="7"/>
        <v>0.15240641711229946</v>
      </c>
      <c r="G18" s="59">
        <f t="shared" si="7"/>
        <v>0.19496855345911948</v>
      </c>
      <c r="H18" s="59">
        <f t="shared" si="7"/>
        <v>0.18749999999999997</v>
      </c>
      <c r="I18" s="86">
        <f t="shared" si="7"/>
        <v>0.22737726227377264</v>
      </c>
      <c r="K18" s="2" t="s">
        <v>40</v>
      </c>
      <c r="L18" s="86">
        <f t="shared" si="8"/>
        <v>0.24842606772162668</v>
      </c>
      <c r="M18" s="59">
        <f t="shared" si="8"/>
        <v>0.22338403041825095</v>
      </c>
      <c r="N18" s="59">
        <f t="shared" si="8"/>
        <v>0.17164697706740792</v>
      </c>
      <c r="O18" s="59">
        <f t="shared" si="8"/>
        <v>0.15240641711229946</v>
      </c>
      <c r="P18" s="59">
        <f t="shared" si="8"/>
        <v>0.19496855345911948</v>
      </c>
      <c r="Q18" s="59">
        <f t="shared" si="8"/>
        <v>0.18749999999999997</v>
      </c>
      <c r="R18" s="86">
        <f t="shared" si="8"/>
        <v>0.22737726227377264</v>
      </c>
    </row>
    <row r="19" spans="2:18" x14ac:dyDescent="0.25">
      <c r="B19" s="2" t="s">
        <v>42</v>
      </c>
      <c r="C19" s="86">
        <f t="shared" si="7"/>
        <v>5.427939424876637E-2</v>
      </c>
      <c r="D19" s="59">
        <f t="shared" si="7"/>
        <v>0.15209125475285171</v>
      </c>
      <c r="E19" s="59">
        <f t="shared" si="7"/>
        <v>0.18068102849200834</v>
      </c>
      <c r="F19" s="59">
        <f t="shared" si="7"/>
        <v>0.23262032085561493</v>
      </c>
      <c r="G19" s="59">
        <f t="shared" si="7"/>
        <v>0.20754716981132074</v>
      </c>
      <c r="H19" s="59">
        <f t="shared" si="7"/>
        <v>0.16666666666666666</v>
      </c>
      <c r="I19" s="86">
        <f t="shared" si="7"/>
        <v>0.1026897310268973</v>
      </c>
      <c r="K19" s="2" t="s">
        <v>42</v>
      </c>
      <c r="L19" s="86">
        <f t="shared" si="8"/>
        <v>5.427939424876637E-2</v>
      </c>
      <c r="M19" s="59">
        <f t="shared" si="8"/>
        <v>0.15209125475285171</v>
      </c>
      <c r="N19" s="59">
        <f t="shared" si="8"/>
        <v>0.18068102849200834</v>
      </c>
      <c r="O19" s="59">
        <f t="shared" si="8"/>
        <v>0.23262032085561493</v>
      </c>
      <c r="P19" s="59">
        <f t="shared" si="8"/>
        <v>0.20754716981132074</v>
      </c>
      <c r="Q19" s="59">
        <f t="shared" si="8"/>
        <v>0.16666666666666666</v>
      </c>
      <c r="R19" s="86">
        <f t="shared" si="8"/>
        <v>0.1026897310268973</v>
      </c>
    </row>
    <row r="20" spans="2:18" x14ac:dyDescent="0.25">
      <c r="B20" s="92" t="s">
        <v>30</v>
      </c>
      <c r="C20" s="93">
        <f t="shared" ref="C20:I20" si="9">SUM(C16:C19)</f>
        <v>1</v>
      </c>
      <c r="D20" s="94">
        <f t="shared" si="9"/>
        <v>0.99999999999999989</v>
      </c>
      <c r="E20" s="94">
        <f t="shared" si="9"/>
        <v>1</v>
      </c>
      <c r="F20" s="94">
        <f t="shared" si="9"/>
        <v>0.99999999999999989</v>
      </c>
      <c r="G20" s="94">
        <f t="shared" si="9"/>
        <v>0.99999999999999989</v>
      </c>
      <c r="H20" s="94">
        <f t="shared" si="9"/>
        <v>0.99999999999999989</v>
      </c>
      <c r="I20" s="93">
        <f t="shared" si="9"/>
        <v>1</v>
      </c>
      <c r="K20" s="92" t="s">
        <v>30</v>
      </c>
      <c r="L20" s="93">
        <f t="shared" ref="L20:R20" si="10">SUM(L16:L19)</f>
        <v>1</v>
      </c>
      <c r="M20" s="94">
        <f t="shared" si="10"/>
        <v>0.99999999999999989</v>
      </c>
      <c r="N20" s="94">
        <f t="shared" si="10"/>
        <v>1</v>
      </c>
      <c r="O20" s="94">
        <f t="shared" si="10"/>
        <v>0.99999999999999989</v>
      </c>
      <c r="P20" s="94">
        <f t="shared" si="10"/>
        <v>0.99999999999999989</v>
      </c>
      <c r="Q20" s="94">
        <f t="shared" si="10"/>
        <v>0.99999999999999989</v>
      </c>
      <c r="R20" s="93">
        <f t="shared" si="10"/>
        <v>1</v>
      </c>
    </row>
    <row r="21" spans="2:18" x14ac:dyDescent="0.25">
      <c r="B21" s="1"/>
      <c r="C21" s="105"/>
      <c r="D21" s="105"/>
      <c r="E21" s="105"/>
      <c r="F21" s="105"/>
      <c r="G21" s="105"/>
      <c r="H21" s="105"/>
      <c r="I21" s="105"/>
      <c r="K21" s="1"/>
      <c r="L21" s="105"/>
      <c r="M21" s="105"/>
      <c r="N21" s="105"/>
      <c r="O21" s="105"/>
      <c r="P21" s="105"/>
      <c r="Q21" s="105"/>
      <c r="R21" s="105"/>
    </row>
    <row r="22" spans="2:18" x14ac:dyDescent="0.25">
      <c r="B22" s="1"/>
      <c r="C22" s="105"/>
      <c r="D22" s="105"/>
      <c r="E22" s="105"/>
      <c r="F22" s="105"/>
      <c r="G22" s="105"/>
      <c r="H22" s="105"/>
      <c r="I22" s="105"/>
      <c r="K22" s="1"/>
      <c r="L22" s="105"/>
      <c r="M22" s="105"/>
      <c r="N22" s="105"/>
      <c r="O22" s="105"/>
      <c r="P22" s="105"/>
      <c r="Q22" s="105"/>
      <c r="R22" s="105"/>
    </row>
    <row r="24" spans="2:18" x14ac:dyDescent="0.25">
      <c r="B24" s="190" t="s">
        <v>54</v>
      </c>
      <c r="C24" s="190"/>
      <c r="D24" s="190"/>
      <c r="E24" s="190"/>
      <c r="F24" s="190"/>
      <c r="G24" s="190"/>
      <c r="H24" s="190"/>
      <c r="K24" s="190" t="s">
        <v>55</v>
      </c>
      <c r="L24" s="190"/>
      <c r="M24" s="190"/>
      <c r="N24" s="190"/>
      <c r="O24" s="190"/>
      <c r="P24" s="190"/>
      <c r="Q24" s="190"/>
    </row>
    <row r="26" spans="2:18" x14ac:dyDescent="0.25">
      <c r="C26" s="191" t="s">
        <v>56</v>
      </c>
      <c r="D26" s="190"/>
      <c r="E26" s="190"/>
      <c r="F26" s="190"/>
      <c r="G26" s="190"/>
      <c r="H26" s="190"/>
      <c r="L26" s="191" t="s">
        <v>56</v>
      </c>
      <c r="M26" s="190"/>
      <c r="N26" s="190"/>
      <c r="O26" s="190"/>
      <c r="P26" s="190"/>
      <c r="Q26" s="190"/>
    </row>
    <row r="27" spans="2:18" x14ac:dyDescent="0.25">
      <c r="B27" s="82" t="s">
        <v>50</v>
      </c>
      <c r="C27" s="79" t="s">
        <v>45</v>
      </c>
      <c r="D27" s="80" t="s">
        <v>21</v>
      </c>
      <c r="E27" s="80" t="s">
        <v>22</v>
      </c>
      <c r="F27" s="80" t="s">
        <v>23</v>
      </c>
      <c r="G27" s="80" t="s">
        <v>24</v>
      </c>
      <c r="H27" s="81" t="s">
        <v>25</v>
      </c>
      <c r="K27" s="82" t="s">
        <v>50</v>
      </c>
      <c r="L27" s="79" t="s">
        <v>45</v>
      </c>
      <c r="M27" s="80" t="s">
        <v>21</v>
      </c>
      <c r="N27" s="80" t="s">
        <v>22</v>
      </c>
      <c r="O27" s="80" t="s">
        <v>23</v>
      </c>
      <c r="P27" s="80" t="s">
        <v>24</v>
      </c>
      <c r="Q27" s="81" t="s">
        <v>25</v>
      </c>
    </row>
    <row r="28" spans="2:18" x14ac:dyDescent="0.25">
      <c r="B28" s="12" t="s">
        <v>16</v>
      </c>
      <c r="C28" s="65">
        <v>0.25</v>
      </c>
      <c r="D28" s="66">
        <v>0.25</v>
      </c>
      <c r="E28" s="66">
        <v>0.25</v>
      </c>
      <c r="F28" s="66">
        <v>0.25</v>
      </c>
      <c r="G28" s="66">
        <v>0.25</v>
      </c>
      <c r="H28" s="66">
        <v>0.25</v>
      </c>
      <c r="K28" s="2" t="s">
        <v>51</v>
      </c>
      <c r="L28" s="72">
        <v>44</v>
      </c>
      <c r="M28" s="73">
        <v>44</v>
      </c>
      <c r="N28" s="73">
        <v>44</v>
      </c>
      <c r="O28" s="73">
        <v>44</v>
      </c>
      <c r="P28" s="73">
        <v>44</v>
      </c>
      <c r="Q28" s="73">
        <v>44</v>
      </c>
    </row>
    <row r="29" spans="2:18" x14ac:dyDescent="0.25">
      <c r="B29" s="17" t="s">
        <v>17</v>
      </c>
      <c r="C29" s="58">
        <v>0.25</v>
      </c>
      <c r="D29" s="59">
        <v>0.25</v>
      </c>
      <c r="E29" s="59">
        <v>0.25</v>
      </c>
      <c r="F29" s="59">
        <v>0.25</v>
      </c>
      <c r="G29" s="59">
        <v>0.25</v>
      </c>
      <c r="H29" s="59">
        <v>0.25</v>
      </c>
      <c r="K29" s="2" t="s">
        <v>52</v>
      </c>
      <c r="L29" s="74">
        <v>37.5</v>
      </c>
      <c r="M29" s="75">
        <v>37.5</v>
      </c>
      <c r="N29" s="75">
        <v>37.5</v>
      </c>
      <c r="O29" s="75">
        <v>37.5</v>
      </c>
      <c r="P29" s="75">
        <v>37.5</v>
      </c>
      <c r="Q29" s="75">
        <v>37.5</v>
      </c>
    </row>
    <row r="30" spans="2:18" x14ac:dyDescent="0.25">
      <c r="B30" s="18" t="s">
        <v>18</v>
      </c>
      <c r="C30" s="58">
        <v>0.25</v>
      </c>
      <c r="D30" s="59">
        <v>0.25</v>
      </c>
      <c r="E30" s="59">
        <v>0.25</v>
      </c>
      <c r="F30" s="59">
        <v>0.25</v>
      </c>
      <c r="G30" s="59">
        <v>0.25</v>
      </c>
      <c r="H30" s="59">
        <v>0.25</v>
      </c>
      <c r="K30" s="69" t="s">
        <v>30</v>
      </c>
      <c r="L30" s="76">
        <f>L28*L29</f>
        <v>1650</v>
      </c>
      <c r="M30" s="77">
        <f t="shared" ref="M30:Q30" si="11">M28*M29</f>
        <v>1650</v>
      </c>
      <c r="N30" s="77">
        <f t="shared" si="11"/>
        <v>1650</v>
      </c>
      <c r="O30" s="77">
        <f t="shared" si="11"/>
        <v>1650</v>
      </c>
      <c r="P30" s="77">
        <f t="shared" si="11"/>
        <v>1650</v>
      </c>
      <c r="Q30" s="77">
        <f t="shared" si="11"/>
        <v>1650</v>
      </c>
    </row>
    <row r="31" spans="2:18" x14ac:dyDescent="0.25">
      <c r="B31" s="19" t="s">
        <v>19</v>
      </c>
      <c r="C31" s="67">
        <v>0.25</v>
      </c>
      <c r="D31" s="68">
        <v>0.25</v>
      </c>
      <c r="E31" s="68">
        <v>0.25</v>
      </c>
      <c r="F31" s="68">
        <v>0.25</v>
      </c>
      <c r="G31" s="68">
        <v>0.25</v>
      </c>
      <c r="H31" s="68">
        <v>0.25</v>
      </c>
    </row>
    <row r="32" spans="2:18" x14ac:dyDescent="0.25">
      <c r="B32" s="69" t="s">
        <v>30</v>
      </c>
      <c r="C32" s="70">
        <f t="shared" ref="C32:H32" si="12">SUM(C28:C31)</f>
        <v>1</v>
      </c>
      <c r="D32" s="71">
        <f t="shared" si="12"/>
        <v>1</v>
      </c>
      <c r="E32" s="71">
        <f t="shared" si="12"/>
        <v>1</v>
      </c>
      <c r="F32" s="71">
        <f t="shared" si="12"/>
        <v>1</v>
      </c>
      <c r="G32" s="71">
        <f t="shared" si="12"/>
        <v>1</v>
      </c>
      <c r="H32" s="71">
        <f t="shared" si="12"/>
        <v>1</v>
      </c>
    </row>
  </sheetData>
  <mergeCells count="14">
    <mergeCell ref="B2:I2"/>
    <mergeCell ref="K2:R2"/>
    <mergeCell ref="T2:AA2"/>
    <mergeCell ref="C4:I4"/>
    <mergeCell ref="L4:R4"/>
    <mergeCell ref="U4:AA4"/>
    <mergeCell ref="B24:H24"/>
    <mergeCell ref="K24:Q24"/>
    <mergeCell ref="C26:H26"/>
    <mergeCell ref="L26:Q26"/>
    <mergeCell ref="B12:I12"/>
    <mergeCell ref="K12:R12"/>
    <mergeCell ref="C14:I14"/>
    <mergeCell ref="L14:R14"/>
  </mergeCells>
  <conditionalFormatting sqref="C10">
    <cfRule type="cellIs" dxfId="9" priority="11" operator="notEqual">
      <formula>1</formula>
    </cfRule>
  </conditionalFormatting>
  <conditionalFormatting sqref="C20">
    <cfRule type="cellIs" dxfId="8" priority="7" operator="notEqual">
      <formula>1</formula>
    </cfRule>
  </conditionalFormatting>
  <conditionalFormatting sqref="C28:H31">
    <cfRule type="colorScale" priority="1">
      <colorScale>
        <cfvo type="num" val="0"/>
        <cfvo type="num" val="0.5"/>
        <color theme="0"/>
        <color theme="0" tint="-0.249977111117893"/>
      </colorScale>
    </cfRule>
  </conditionalFormatting>
  <conditionalFormatting sqref="C32:H32">
    <cfRule type="cellIs" dxfId="7" priority="2" operator="notEqual">
      <formula>1</formula>
    </cfRule>
  </conditionalFormatting>
  <conditionalFormatting sqref="C6:I9">
    <cfRule type="colorScale" priority="10">
      <colorScale>
        <cfvo type="num" val="0"/>
        <cfvo type="num" val="0.5"/>
        <color theme="0"/>
        <color theme="0" tint="-0.249977111117893"/>
      </colorScale>
    </cfRule>
  </conditionalFormatting>
  <conditionalFormatting sqref="C16:I19">
    <cfRule type="colorScale" priority="4">
      <colorScale>
        <cfvo type="num" val="0"/>
        <cfvo type="num" val="0.5"/>
        <color theme="0"/>
        <color theme="0" tint="-0.249977111117893"/>
      </colorScale>
    </cfRule>
  </conditionalFormatting>
  <conditionalFormatting sqref="L10">
    <cfRule type="cellIs" dxfId="6" priority="9" operator="notEqual">
      <formula>1</formula>
    </cfRule>
  </conditionalFormatting>
  <conditionalFormatting sqref="L20">
    <cfRule type="cellIs" dxfId="5" priority="8" operator="notEqual">
      <formula>1</formula>
    </cfRule>
  </conditionalFormatting>
  <conditionalFormatting sqref="L6:R9">
    <cfRule type="colorScale" priority="6">
      <colorScale>
        <cfvo type="num" val="0"/>
        <cfvo type="num" val="0.5"/>
        <color theme="0"/>
        <color theme="0" tint="-0.249977111117893"/>
      </colorScale>
    </cfRule>
  </conditionalFormatting>
  <conditionalFormatting sqref="L16:R19">
    <cfRule type="colorScale" priority="3">
      <colorScale>
        <cfvo type="num" val="0"/>
        <cfvo type="num" val="0.5"/>
        <color theme="0"/>
        <color theme="0" tint="-0.249977111117893"/>
      </colorScale>
    </cfRule>
  </conditionalFormatting>
  <conditionalFormatting sqref="U6:AA9">
    <cfRule type="colorScale" priority="5">
      <colorScale>
        <cfvo type="num" val="0"/>
        <cfvo type="num" val="0.5"/>
        <color theme="0"/>
        <color theme="0" tint="-0.249977111117893"/>
      </colorScale>
    </cfRule>
  </conditionalFormatting>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C0A8D-68BB-47D3-9B19-9DCCE477FAD7}">
  <sheetPr>
    <tabColor rgb="FF00BED2"/>
  </sheetPr>
  <dimension ref="B2:AA32"/>
  <sheetViews>
    <sheetView workbookViewId="0">
      <selection activeCell="Q30" sqref="Q30"/>
    </sheetView>
  </sheetViews>
  <sheetFormatPr defaultRowHeight="15" x14ac:dyDescent="0.25"/>
  <cols>
    <col min="1" max="1" width="2.7109375" style="2" customWidth="1"/>
    <col min="2" max="2" width="39.42578125" style="2" bestFit="1" customWidth="1"/>
    <col min="3" max="9" width="9.140625" style="2"/>
    <col min="10" max="10" width="2.7109375" style="2" customWidth="1"/>
    <col min="11" max="11" width="39.42578125" style="2" bestFit="1" customWidth="1"/>
    <col min="12" max="18" width="9.140625" style="2"/>
    <col min="19" max="19" width="2.7109375" style="2" customWidth="1"/>
    <col min="20" max="20" width="39.42578125" style="2" bestFit="1" customWidth="1"/>
    <col min="21" max="21" width="10.140625" style="2" bestFit="1" customWidth="1"/>
    <col min="22" max="27" width="9.140625" style="2"/>
    <col min="28" max="28" width="2.7109375" style="2" customWidth="1"/>
    <col min="29" max="16384" width="9.140625" style="2"/>
  </cols>
  <sheetData>
    <row r="2" spans="2:27" x14ac:dyDescent="0.25">
      <c r="B2" s="195" t="s">
        <v>46</v>
      </c>
      <c r="C2" s="195"/>
      <c r="D2" s="195"/>
      <c r="E2" s="195"/>
      <c r="F2" s="195"/>
      <c r="G2" s="195"/>
      <c r="H2" s="195"/>
      <c r="I2" s="195"/>
      <c r="K2" s="196" t="s">
        <v>47</v>
      </c>
      <c r="L2" s="196"/>
      <c r="M2" s="196"/>
      <c r="N2" s="196"/>
      <c r="O2" s="196"/>
      <c r="P2" s="196"/>
      <c r="Q2" s="196"/>
      <c r="R2" s="196"/>
      <c r="T2" s="197" t="s">
        <v>53</v>
      </c>
      <c r="U2" s="197"/>
      <c r="V2" s="197"/>
      <c r="W2" s="197"/>
      <c r="X2" s="197"/>
      <c r="Y2" s="197"/>
      <c r="Z2" s="197"/>
      <c r="AA2" s="197"/>
    </row>
    <row r="3" spans="2:27" x14ac:dyDescent="0.25">
      <c r="T3" s="106"/>
      <c r="U3" s="106"/>
      <c r="V3" s="106"/>
      <c r="W3" s="106"/>
      <c r="X3" s="106"/>
      <c r="Y3" s="106"/>
      <c r="Z3" s="106"/>
      <c r="AA3" s="106"/>
    </row>
    <row r="4" spans="2:27" x14ac:dyDescent="0.25">
      <c r="C4" s="198" t="s">
        <v>56</v>
      </c>
      <c r="D4" s="195"/>
      <c r="E4" s="195"/>
      <c r="F4" s="195"/>
      <c r="G4" s="195"/>
      <c r="H4" s="195"/>
      <c r="I4" s="195"/>
      <c r="L4" s="199" t="s">
        <v>56</v>
      </c>
      <c r="M4" s="196"/>
      <c r="N4" s="196"/>
      <c r="O4" s="196"/>
      <c r="P4" s="196"/>
      <c r="Q4" s="196"/>
      <c r="R4" s="196"/>
      <c r="T4" s="106"/>
      <c r="U4" s="200" t="s">
        <v>0</v>
      </c>
      <c r="V4" s="197"/>
      <c r="W4" s="197"/>
      <c r="X4" s="197"/>
      <c r="Y4" s="197"/>
      <c r="Z4" s="197"/>
      <c r="AA4" s="197"/>
    </row>
    <row r="5" spans="2:27" x14ac:dyDescent="0.25">
      <c r="B5" s="83" t="s">
        <v>29</v>
      </c>
      <c r="C5" s="85" t="s">
        <v>45</v>
      </c>
      <c r="D5" s="84" t="s">
        <v>21</v>
      </c>
      <c r="E5" s="84" t="s">
        <v>22</v>
      </c>
      <c r="F5" s="84" t="s">
        <v>23</v>
      </c>
      <c r="G5" s="84" t="s">
        <v>24</v>
      </c>
      <c r="H5" s="84" t="s">
        <v>25</v>
      </c>
      <c r="I5" s="87" t="s">
        <v>30</v>
      </c>
      <c r="K5" s="89" t="s">
        <v>29</v>
      </c>
      <c r="L5" s="90" t="s">
        <v>45</v>
      </c>
      <c r="M5" s="91" t="s">
        <v>21</v>
      </c>
      <c r="N5" s="91" t="s">
        <v>22</v>
      </c>
      <c r="O5" s="91" t="s">
        <v>23</v>
      </c>
      <c r="P5" s="91" t="s">
        <v>24</v>
      </c>
      <c r="Q5" s="91" t="s">
        <v>25</v>
      </c>
      <c r="R5" s="95" t="s">
        <v>30</v>
      </c>
      <c r="T5" s="110" t="s">
        <v>29</v>
      </c>
      <c r="U5" s="111" t="s">
        <v>45</v>
      </c>
      <c r="V5" s="112" t="s">
        <v>21</v>
      </c>
      <c r="W5" s="112" t="s">
        <v>22</v>
      </c>
      <c r="X5" s="112" t="s">
        <v>23</v>
      </c>
      <c r="Y5" s="112" t="s">
        <v>24</v>
      </c>
      <c r="Z5" s="112" t="s">
        <v>25</v>
      </c>
      <c r="AA5" s="113" t="s">
        <v>30</v>
      </c>
    </row>
    <row r="6" spans="2:27" x14ac:dyDescent="0.25">
      <c r="B6" s="104" t="s">
        <v>41</v>
      </c>
      <c r="C6" s="86">
        <f>U6</f>
        <v>0.49821337417049516</v>
      </c>
      <c r="D6" s="59">
        <f t="shared" ref="D6:I9" si="0">V6</f>
        <v>0.38022813688212925</v>
      </c>
      <c r="E6" s="59">
        <f t="shared" si="0"/>
        <v>0.33148019457956918</v>
      </c>
      <c r="F6" s="59">
        <f t="shared" si="0"/>
        <v>0.33689839572192509</v>
      </c>
      <c r="G6" s="59">
        <f t="shared" si="0"/>
        <v>0.23270440251572327</v>
      </c>
      <c r="H6" s="59">
        <f t="shared" si="0"/>
        <v>0.27083333333333331</v>
      </c>
      <c r="I6" s="86">
        <f t="shared" si="0"/>
        <v>0.43805619438056198</v>
      </c>
      <c r="K6" s="104" t="s">
        <v>41</v>
      </c>
      <c r="L6" s="88">
        <f>U6</f>
        <v>0.49821337417049516</v>
      </c>
      <c r="M6" s="78">
        <f t="shared" ref="M6:R9" si="1">V6</f>
        <v>0.38022813688212925</v>
      </c>
      <c r="N6" s="78">
        <f t="shared" si="1"/>
        <v>0.33148019457956918</v>
      </c>
      <c r="O6" s="78">
        <f t="shared" si="1"/>
        <v>0.33689839572192509</v>
      </c>
      <c r="P6" s="78">
        <f t="shared" si="1"/>
        <v>0.23270440251572327</v>
      </c>
      <c r="Q6" s="78">
        <f t="shared" si="1"/>
        <v>0.27083333333333331</v>
      </c>
      <c r="R6" s="88">
        <f t="shared" si="1"/>
        <v>0.43805619438056198</v>
      </c>
      <c r="T6" s="106" t="s">
        <v>41</v>
      </c>
      <c r="U6" s="108">
        <f>'CALC | TASK STD'!L6</f>
        <v>0.49821337417049516</v>
      </c>
      <c r="V6" s="107">
        <f>'CALC | TASK STD'!M6</f>
        <v>0.38022813688212925</v>
      </c>
      <c r="W6" s="107">
        <f>'CALC | TASK STD'!N6</f>
        <v>0.33148019457956918</v>
      </c>
      <c r="X6" s="107">
        <f>'CALC | TASK STD'!O6</f>
        <v>0.33689839572192509</v>
      </c>
      <c r="Y6" s="107">
        <f>'CALC | TASK STD'!P6</f>
        <v>0.23270440251572327</v>
      </c>
      <c r="Z6" s="107">
        <f>'CALC | TASK STD'!Q6</f>
        <v>0.27083333333333331</v>
      </c>
      <c r="AA6" s="109">
        <f>'CALC | TASK STD'!R6</f>
        <v>0.43805619438056198</v>
      </c>
    </row>
    <row r="7" spans="2:27" x14ac:dyDescent="0.25">
      <c r="B7" s="2" t="s">
        <v>39</v>
      </c>
      <c r="C7" s="86">
        <f t="shared" ref="C7:C9" si="2">U7</f>
        <v>0.19908116385911179</v>
      </c>
      <c r="D7" s="59">
        <f t="shared" si="0"/>
        <v>0.24429657794676807</v>
      </c>
      <c r="E7" s="59">
        <f t="shared" si="0"/>
        <v>0.31619179986101459</v>
      </c>
      <c r="F7" s="59">
        <f t="shared" si="0"/>
        <v>0.27807486631016037</v>
      </c>
      <c r="G7" s="59">
        <f t="shared" si="0"/>
        <v>0.36477987421383645</v>
      </c>
      <c r="H7" s="59">
        <f t="shared" si="0"/>
        <v>0.37499999999999994</v>
      </c>
      <c r="I7" s="86">
        <f t="shared" si="0"/>
        <v>0.23187681231876808</v>
      </c>
      <c r="K7" s="2" t="s">
        <v>39</v>
      </c>
      <c r="L7" s="88">
        <f t="shared" ref="L7:L9" si="3">U7</f>
        <v>0.19908116385911179</v>
      </c>
      <c r="M7" s="78">
        <f t="shared" si="1"/>
        <v>0.24429657794676807</v>
      </c>
      <c r="N7" s="78">
        <f t="shared" si="1"/>
        <v>0.31619179986101459</v>
      </c>
      <c r="O7" s="78">
        <f t="shared" si="1"/>
        <v>0.27807486631016037</v>
      </c>
      <c r="P7" s="78">
        <f t="shared" si="1"/>
        <v>0.36477987421383645</v>
      </c>
      <c r="Q7" s="78">
        <f t="shared" si="1"/>
        <v>0.37499999999999994</v>
      </c>
      <c r="R7" s="88">
        <f t="shared" si="1"/>
        <v>0.23187681231876808</v>
      </c>
      <c r="T7" s="106" t="s">
        <v>39</v>
      </c>
      <c r="U7" s="108">
        <f>'CALC | TASK STD'!L7</f>
        <v>0.19908116385911179</v>
      </c>
      <c r="V7" s="107">
        <f>'CALC | TASK STD'!M7</f>
        <v>0.24429657794676807</v>
      </c>
      <c r="W7" s="107">
        <f>'CALC | TASK STD'!N7</f>
        <v>0.31619179986101459</v>
      </c>
      <c r="X7" s="107">
        <f>'CALC | TASK STD'!O7</f>
        <v>0.27807486631016037</v>
      </c>
      <c r="Y7" s="107">
        <f>'CALC | TASK STD'!P7</f>
        <v>0.36477987421383645</v>
      </c>
      <c r="Z7" s="107">
        <f>'CALC | TASK STD'!Q7</f>
        <v>0.37499999999999994</v>
      </c>
      <c r="AA7" s="109">
        <f>'CALC | TASK STD'!R7</f>
        <v>0.23187681231876808</v>
      </c>
    </row>
    <row r="8" spans="2:27" x14ac:dyDescent="0.25">
      <c r="B8" s="2" t="s">
        <v>40</v>
      </c>
      <c r="C8" s="86">
        <f t="shared" si="2"/>
        <v>0.24842606772162668</v>
      </c>
      <c r="D8" s="59">
        <f t="shared" si="0"/>
        <v>0.22338403041825095</v>
      </c>
      <c r="E8" s="59">
        <f t="shared" si="0"/>
        <v>0.17164697706740792</v>
      </c>
      <c r="F8" s="59">
        <f t="shared" si="0"/>
        <v>0.15240641711229946</v>
      </c>
      <c r="G8" s="59">
        <f t="shared" si="0"/>
        <v>0.19496855345911948</v>
      </c>
      <c r="H8" s="59">
        <f t="shared" si="0"/>
        <v>0.18749999999999997</v>
      </c>
      <c r="I8" s="86">
        <f t="shared" si="0"/>
        <v>0.22737726227377264</v>
      </c>
      <c r="K8" s="2" t="s">
        <v>40</v>
      </c>
      <c r="L8" s="88">
        <f t="shared" si="3"/>
        <v>0.24842606772162668</v>
      </c>
      <c r="M8" s="78">
        <f t="shared" si="1"/>
        <v>0.22338403041825095</v>
      </c>
      <c r="N8" s="78">
        <f t="shared" si="1"/>
        <v>0.17164697706740792</v>
      </c>
      <c r="O8" s="78">
        <f t="shared" si="1"/>
        <v>0.15240641711229946</v>
      </c>
      <c r="P8" s="78">
        <f t="shared" si="1"/>
        <v>0.19496855345911948</v>
      </c>
      <c r="Q8" s="78">
        <f t="shared" si="1"/>
        <v>0.18749999999999997</v>
      </c>
      <c r="R8" s="88">
        <f t="shared" si="1"/>
        <v>0.22737726227377264</v>
      </c>
      <c r="T8" s="106" t="s">
        <v>40</v>
      </c>
      <c r="U8" s="108">
        <f>'CALC | TASK STD'!L8</f>
        <v>0.24842606772162668</v>
      </c>
      <c r="V8" s="107">
        <f>'CALC | TASK STD'!M8</f>
        <v>0.22338403041825095</v>
      </c>
      <c r="W8" s="107">
        <f>'CALC | TASK STD'!N8</f>
        <v>0.17164697706740792</v>
      </c>
      <c r="X8" s="107">
        <f>'CALC | TASK STD'!O8</f>
        <v>0.15240641711229946</v>
      </c>
      <c r="Y8" s="107">
        <f>'CALC | TASK STD'!P8</f>
        <v>0.19496855345911948</v>
      </c>
      <c r="Z8" s="107">
        <f>'CALC | TASK STD'!Q8</f>
        <v>0.18749999999999997</v>
      </c>
      <c r="AA8" s="109">
        <f>'CALC | TASK STD'!R8</f>
        <v>0.22737726227377264</v>
      </c>
    </row>
    <row r="9" spans="2:27" x14ac:dyDescent="0.25">
      <c r="B9" s="2" t="s">
        <v>42</v>
      </c>
      <c r="C9" s="86">
        <f t="shared" si="2"/>
        <v>5.427939424876637E-2</v>
      </c>
      <c r="D9" s="59">
        <f t="shared" si="0"/>
        <v>0.15209125475285171</v>
      </c>
      <c r="E9" s="59">
        <f t="shared" si="0"/>
        <v>0.18068102849200834</v>
      </c>
      <c r="F9" s="59">
        <f t="shared" si="0"/>
        <v>0.23262032085561493</v>
      </c>
      <c r="G9" s="59">
        <f t="shared" si="0"/>
        <v>0.20754716981132074</v>
      </c>
      <c r="H9" s="59">
        <f t="shared" si="0"/>
        <v>0.16666666666666666</v>
      </c>
      <c r="I9" s="86">
        <f t="shared" si="0"/>
        <v>0.1026897310268973</v>
      </c>
      <c r="K9" s="2" t="s">
        <v>42</v>
      </c>
      <c r="L9" s="88">
        <f t="shared" si="3"/>
        <v>5.427939424876637E-2</v>
      </c>
      <c r="M9" s="78">
        <f t="shared" si="1"/>
        <v>0.15209125475285171</v>
      </c>
      <c r="N9" s="78">
        <f t="shared" si="1"/>
        <v>0.18068102849200834</v>
      </c>
      <c r="O9" s="78">
        <f t="shared" si="1"/>
        <v>0.23262032085561493</v>
      </c>
      <c r="P9" s="78">
        <f t="shared" si="1"/>
        <v>0.20754716981132074</v>
      </c>
      <c r="Q9" s="78">
        <f t="shared" si="1"/>
        <v>0.16666666666666666</v>
      </c>
      <c r="R9" s="88">
        <f t="shared" si="1"/>
        <v>0.1026897310268973</v>
      </c>
      <c r="T9" s="106" t="s">
        <v>42</v>
      </c>
      <c r="U9" s="108">
        <f>'CALC | TASK STD'!L9</f>
        <v>5.427939424876637E-2</v>
      </c>
      <c r="V9" s="107">
        <f>'CALC | TASK STD'!M9</f>
        <v>0.15209125475285171</v>
      </c>
      <c r="W9" s="107">
        <f>'CALC | TASK STD'!N9</f>
        <v>0.18068102849200834</v>
      </c>
      <c r="X9" s="107">
        <f>'CALC | TASK STD'!O9</f>
        <v>0.23262032085561493</v>
      </c>
      <c r="Y9" s="107">
        <f>'CALC | TASK STD'!P9</f>
        <v>0.20754716981132074</v>
      </c>
      <c r="Z9" s="107">
        <f>'CALC | TASK STD'!Q9</f>
        <v>0.16666666666666666</v>
      </c>
      <c r="AA9" s="109">
        <f>'CALC | TASK STD'!R9</f>
        <v>0.1026897310268973</v>
      </c>
    </row>
    <row r="10" spans="2:27" x14ac:dyDescent="0.25">
      <c r="B10" s="92" t="s">
        <v>30</v>
      </c>
      <c r="C10" s="93">
        <f t="shared" ref="C10:I10" si="4">SUM(C6:C9)</f>
        <v>1</v>
      </c>
      <c r="D10" s="94">
        <f t="shared" si="4"/>
        <v>0.99999999999999989</v>
      </c>
      <c r="E10" s="94">
        <f t="shared" si="4"/>
        <v>1</v>
      </c>
      <c r="F10" s="94">
        <f t="shared" si="4"/>
        <v>0.99999999999999989</v>
      </c>
      <c r="G10" s="94">
        <f t="shared" si="4"/>
        <v>0.99999999999999989</v>
      </c>
      <c r="H10" s="94">
        <f t="shared" si="4"/>
        <v>0.99999999999999989</v>
      </c>
      <c r="I10" s="93">
        <f t="shared" si="4"/>
        <v>1</v>
      </c>
      <c r="K10" s="92" t="s">
        <v>30</v>
      </c>
      <c r="L10" s="93">
        <f t="shared" ref="L10:R10" si="5">SUM(L6:L9)</f>
        <v>1</v>
      </c>
      <c r="M10" s="94">
        <f t="shared" si="5"/>
        <v>0.99999999999999989</v>
      </c>
      <c r="N10" s="94">
        <f t="shared" si="5"/>
        <v>1</v>
      </c>
      <c r="O10" s="94">
        <f t="shared" si="5"/>
        <v>0.99999999999999989</v>
      </c>
      <c r="P10" s="94">
        <f t="shared" si="5"/>
        <v>0.99999999999999989</v>
      </c>
      <c r="Q10" s="94">
        <f t="shared" si="5"/>
        <v>0.99999999999999989</v>
      </c>
      <c r="R10" s="93">
        <f t="shared" si="5"/>
        <v>1</v>
      </c>
      <c r="T10" s="114" t="s">
        <v>30</v>
      </c>
      <c r="U10" s="115">
        <f t="shared" ref="U10:AA10" si="6">SUM(U6:U9)</f>
        <v>1</v>
      </c>
      <c r="V10" s="116">
        <f t="shared" si="6"/>
        <v>0.99999999999999989</v>
      </c>
      <c r="W10" s="116">
        <f t="shared" si="6"/>
        <v>1</v>
      </c>
      <c r="X10" s="116">
        <f t="shared" si="6"/>
        <v>0.99999999999999989</v>
      </c>
      <c r="Y10" s="116">
        <f t="shared" si="6"/>
        <v>0.99999999999999989</v>
      </c>
      <c r="Z10" s="116">
        <f t="shared" si="6"/>
        <v>0.99999999999999989</v>
      </c>
      <c r="AA10" s="115">
        <f t="shared" si="6"/>
        <v>1</v>
      </c>
    </row>
    <row r="12" spans="2:27" x14ac:dyDescent="0.25">
      <c r="B12" s="184" t="s">
        <v>48</v>
      </c>
      <c r="C12" s="184"/>
      <c r="D12" s="184"/>
      <c r="E12" s="184"/>
      <c r="F12" s="184"/>
      <c r="G12" s="184"/>
      <c r="H12" s="184"/>
      <c r="I12" s="184"/>
      <c r="K12" s="192" t="s">
        <v>49</v>
      </c>
      <c r="L12" s="192"/>
      <c r="M12" s="192"/>
      <c r="N12" s="192"/>
      <c r="O12" s="192"/>
      <c r="P12" s="192"/>
      <c r="Q12" s="192"/>
      <c r="R12" s="192"/>
      <c r="AA12" s="1"/>
    </row>
    <row r="14" spans="2:27" x14ac:dyDescent="0.25">
      <c r="C14" s="193" t="s">
        <v>56</v>
      </c>
      <c r="D14" s="184"/>
      <c r="E14" s="184"/>
      <c r="F14" s="184"/>
      <c r="G14" s="184"/>
      <c r="H14" s="184"/>
      <c r="I14" s="184"/>
      <c r="L14" s="194" t="s">
        <v>56</v>
      </c>
      <c r="M14" s="192"/>
      <c r="N14" s="192"/>
      <c r="O14" s="192"/>
      <c r="P14" s="192"/>
      <c r="Q14" s="192"/>
      <c r="R14" s="192"/>
    </row>
    <row r="15" spans="2:27" x14ac:dyDescent="0.25">
      <c r="B15" s="100" t="s">
        <v>29</v>
      </c>
      <c r="C15" s="101" t="s">
        <v>45</v>
      </c>
      <c r="D15" s="102" t="s">
        <v>21</v>
      </c>
      <c r="E15" s="102" t="s">
        <v>22</v>
      </c>
      <c r="F15" s="102" t="s">
        <v>23</v>
      </c>
      <c r="G15" s="102" t="s">
        <v>24</v>
      </c>
      <c r="H15" s="102" t="s">
        <v>25</v>
      </c>
      <c r="I15" s="103" t="s">
        <v>30</v>
      </c>
      <c r="K15" s="96" t="s">
        <v>29</v>
      </c>
      <c r="L15" s="97" t="s">
        <v>45</v>
      </c>
      <c r="M15" s="98" t="s">
        <v>21</v>
      </c>
      <c r="N15" s="98" t="s">
        <v>22</v>
      </c>
      <c r="O15" s="98" t="s">
        <v>23</v>
      </c>
      <c r="P15" s="98" t="s">
        <v>24</v>
      </c>
      <c r="Q15" s="98" t="s">
        <v>25</v>
      </c>
      <c r="R15" s="99" t="s">
        <v>30</v>
      </c>
    </row>
    <row r="16" spans="2:27" x14ac:dyDescent="0.25">
      <c r="B16" s="104" t="s">
        <v>41</v>
      </c>
      <c r="C16" s="86">
        <f t="shared" ref="C16:I19" si="7">U6</f>
        <v>0.49821337417049516</v>
      </c>
      <c r="D16" s="59">
        <f t="shared" si="7"/>
        <v>0.38022813688212925</v>
      </c>
      <c r="E16" s="59">
        <f t="shared" si="7"/>
        <v>0.33148019457956918</v>
      </c>
      <c r="F16" s="59">
        <f t="shared" si="7"/>
        <v>0.33689839572192509</v>
      </c>
      <c r="G16" s="59">
        <f t="shared" si="7"/>
        <v>0.23270440251572327</v>
      </c>
      <c r="H16" s="59">
        <f t="shared" si="7"/>
        <v>0.27083333333333331</v>
      </c>
      <c r="I16" s="86">
        <f t="shared" si="7"/>
        <v>0.43805619438056198</v>
      </c>
      <c r="K16" s="104" t="s">
        <v>41</v>
      </c>
      <c r="L16" s="86">
        <f t="shared" ref="L16:R19" si="8">U6</f>
        <v>0.49821337417049516</v>
      </c>
      <c r="M16" s="59">
        <f t="shared" si="8"/>
        <v>0.38022813688212925</v>
      </c>
      <c r="N16" s="59">
        <f t="shared" si="8"/>
        <v>0.33148019457956918</v>
      </c>
      <c r="O16" s="59">
        <f t="shared" si="8"/>
        <v>0.33689839572192509</v>
      </c>
      <c r="P16" s="59">
        <f t="shared" si="8"/>
        <v>0.23270440251572327</v>
      </c>
      <c r="Q16" s="59">
        <f t="shared" si="8"/>
        <v>0.27083333333333331</v>
      </c>
      <c r="R16" s="86">
        <f t="shared" si="8"/>
        <v>0.43805619438056198</v>
      </c>
    </row>
    <row r="17" spans="2:18" x14ac:dyDescent="0.25">
      <c r="B17" s="2" t="s">
        <v>39</v>
      </c>
      <c r="C17" s="86">
        <f t="shared" si="7"/>
        <v>0.19908116385911179</v>
      </c>
      <c r="D17" s="59">
        <f t="shared" si="7"/>
        <v>0.24429657794676807</v>
      </c>
      <c r="E17" s="59">
        <f t="shared" si="7"/>
        <v>0.31619179986101459</v>
      </c>
      <c r="F17" s="59">
        <f t="shared" si="7"/>
        <v>0.27807486631016037</v>
      </c>
      <c r="G17" s="59">
        <f t="shared" si="7"/>
        <v>0.36477987421383645</v>
      </c>
      <c r="H17" s="59">
        <f t="shared" si="7"/>
        <v>0.37499999999999994</v>
      </c>
      <c r="I17" s="86">
        <f t="shared" si="7"/>
        <v>0.23187681231876808</v>
      </c>
      <c r="K17" s="2" t="s">
        <v>39</v>
      </c>
      <c r="L17" s="86">
        <f t="shared" si="8"/>
        <v>0.19908116385911179</v>
      </c>
      <c r="M17" s="59">
        <f t="shared" si="8"/>
        <v>0.24429657794676807</v>
      </c>
      <c r="N17" s="59">
        <f t="shared" si="8"/>
        <v>0.31619179986101459</v>
      </c>
      <c r="O17" s="59">
        <f t="shared" si="8"/>
        <v>0.27807486631016037</v>
      </c>
      <c r="P17" s="59">
        <f t="shared" si="8"/>
        <v>0.36477987421383645</v>
      </c>
      <c r="Q17" s="59">
        <f t="shared" si="8"/>
        <v>0.37499999999999994</v>
      </c>
      <c r="R17" s="86">
        <f t="shared" si="8"/>
        <v>0.23187681231876808</v>
      </c>
    </row>
    <row r="18" spans="2:18" x14ac:dyDescent="0.25">
      <c r="B18" s="2" t="s">
        <v>40</v>
      </c>
      <c r="C18" s="86">
        <f t="shared" si="7"/>
        <v>0.24842606772162668</v>
      </c>
      <c r="D18" s="59">
        <f t="shared" si="7"/>
        <v>0.22338403041825095</v>
      </c>
      <c r="E18" s="59">
        <f t="shared" si="7"/>
        <v>0.17164697706740792</v>
      </c>
      <c r="F18" s="59">
        <f t="shared" si="7"/>
        <v>0.15240641711229946</v>
      </c>
      <c r="G18" s="59">
        <f t="shared" si="7"/>
        <v>0.19496855345911948</v>
      </c>
      <c r="H18" s="59">
        <f t="shared" si="7"/>
        <v>0.18749999999999997</v>
      </c>
      <c r="I18" s="86">
        <f t="shared" si="7"/>
        <v>0.22737726227377264</v>
      </c>
      <c r="K18" s="2" t="s">
        <v>40</v>
      </c>
      <c r="L18" s="86">
        <f t="shared" si="8"/>
        <v>0.24842606772162668</v>
      </c>
      <c r="M18" s="59">
        <f t="shared" si="8"/>
        <v>0.22338403041825095</v>
      </c>
      <c r="N18" s="59">
        <f t="shared" si="8"/>
        <v>0.17164697706740792</v>
      </c>
      <c r="O18" s="59">
        <f t="shared" si="8"/>
        <v>0.15240641711229946</v>
      </c>
      <c r="P18" s="59">
        <f t="shared" si="8"/>
        <v>0.19496855345911948</v>
      </c>
      <c r="Q18" s="59">
        <f t="shared" si="8"/>
        <v>0.18749999999999997</v>
      </c>
      <c r="R18" s="86">
        <f t="shared" si="8"/>
        <v>0.22737726227377264</v>
      </c>
    </row>
    <row r="19" spans="2:18" x14ac:dyDescent="0.25">
      <c r="B19" s="2" t="s">
        <v>42</v>
      </c>
      <c r="C19" s="86">
        <f t="shared" si="7"/>
        <v>5.427939424876637E-2</v>
      </c>
      <c r="D19" s="59">
        <f t="shared" si="7"/>
        <v>0.15209125475285171</v>
      </c>
      <c r="E19" s="59">
        <f t="shared" si="7"/>
        <v>0.18068102849200834</v>
      </c>
      <c r="F19" s="59">
        <f t="shared" si="7"/>
        <v>0.23262032085561493</v>
      </c>
      <c r="G19" s="59">
        <f t="shared" si="7"/>
        <v>0.20754716981132074</v>
      </c>
      <c r="H19" s="59">
        <f t="shared" si="7"/>
        <v>0.16666666666666666</v>
      </c>
      <c r="I19" s="86">
        <f t="shared" si="7"/>
        <v>0.1026897310268973</v>
      </c>
      <c r="K19" s="2" t="s">
        <v>42</v>
      </c>
      <c r="L19" s="86">
        <f t="shared" si="8"/>
        <v>5.427939424876637E-2</v>
      </c>
      <c r="M19" s="59">
        <f t="shared" si="8"/>
        <v>0.15209125475285171</v>
      </c>
      <c r="N19" s="59">
        <f t="shared" si="8"/>
        <v>0.18068102849200834</v>
      </c>
      <c r="O19" s="59">
        <f t="shared" si="8"/>
        <v>0.23262032085561493</v>
      </c>
      <c r="P19" s="59">
        <f t="shared" si="8"/>
        <v>0.20754716981132074</v>
      </c>
      <c r="Q19" s="59">
        <f t="shared" si="8"/>
        <v>0.16666666666666666</v>
      </c>
      <c r="R19" s="86">
        <f t="shared" si="8"/>
        <v>0.1026897310268973</v>
      </c>
    </row>
    <row r="20" spans="2:18" x14ac:dyDescent="0.25">
      <c r="B20" s="92" t="s">
        <v>30</v>
      </c>
      <c r="C20" s="93">
        <f t="shared" ref="C20:I20" si="9">SUM(C16:C19)</f>
        <v>1</v>
      </c>
      <c r="D20" s="94">
        <f t="shared" si="9"/>
        <v>0.99999999999999989</v>
      </c>
      <c r="E20" s="94">
        <f t="shared" si="9"/>
        <v>1</v>
      </c>
      <c r="F20" s="94">
        <f t="shared" si="9"/>
        <v>0.99999999999999989</v>
      </c>
      <c r="G20" s="94">
        <f t="shared" si="9"/>
        <v>0.99999999999999989</v>
      </c>
      <c r="H20" s="94">
        <f t="shared" si="9"/>
        <v>0.99999999999999989</v>
      </c>
      <c r="I20" s="93">
        <f t="shared" si="9"/>
        <v>1</v>
      </c>
      <c r="K20" s="92" t="s">
        <v>30</v>
      </c>
      <c r="L20" s="93">
        <f t="shared" ref="L20:R20" si="10">SUM(L16:L19)</f>
        <v>1</v>
      </c>
      <c r="M20" s="94">
        <f t="shared" si="10"/>
        <v>0.99999999999999989</v>
      </c>
      <c r="N20" s="94">
        <f t="shared" si="10"/>
        <v>1</v>
      </c>
      <c r="O20" s="94">
        <f t="shared" si="10"/>
        <v>0.99999999999999989</v>
      </c>
      <c r="P20" s="94">
        <f t="shared" si="10"/>
        <v>0.99999999999999989</v>
      </c>
      <c r="Q20" s="94">
        <f t="shared" si="10"/>
        <v>0.99999999999999989</v>
      </c>
      <c r="R20" s="93">
        <f t="shared" si="10"/>
        <v>1</v>
      </c>
    </row>
    <row r="21" spans="2:18" x14ac:dyDescent="0.25">
      <c r="B21" s="1"/>
      <c r="C21" s="105"/>
      <c r="D21" s="105"/>
      <c r="E21" s="105"/>
      <c r="F21" s="105"/>
      <c r="G21" s="105"/>
      <c r="H21" s="105"/>
      <c r="I21" s="105"/>
      <c r="K21" s="1"/>
      <c r="L21" s="105"/>
      <c r="M21" s="105"/>
      <c r="N21" s="105"/>
      <c r="O21" s="105"/>
      <c r="P21" s="105"/>
      <c r="Q21" s="105"/>
      <c r="R21" s="105"/>
    </row>
    <row r="22" spans="2:18" x14ac:dyDescent="0.25">
      <c r="B22" s="1"/>
      <c r="C22" s="105"/>
      <c r="D22" s="105"/>
      <c r="E22" s="105"/>
      <c r="F22" s="105"/>
      <c r="G22" s="105"/>
      <c r="H22" s="105"/>
      <c r="I22" s="105"/>
      <c r="K22" s="1"/>
      <c r="L22" s="105"/>
      <c r="M22" s="105"/>
      <c r="N22" s="105"/>
      <c r="O22" s="105"/>
      <c r="P22" s="105"/>
      <c r="Q22" s="105"/>
      <c r="R22" s="105"/>
    </row>
    <row r="24" spans="2:18" x14ac:dyDescent="0.25">
      <c r="B24" s="190" t="s">
        <v>54</v>
      </c>
      <c r="C24" s="190"/>
      <c r="D24" s="190"/>
      <c r="E24" s="190"/>
      <c r="F24" s="190"/>
      <c r="G24" s="190"/>
      <c r="H24" s="190"/>
      <c r="K24" s="190" t="s">
        <v>55</v>
      </c>
      <c r="L24" s="190"/>
      <c r="M24" s="190"/>
      <c r="N24" s="190"/>
      <c r="O24" s="190"/>
      <c r="P24" s="190"/>
      <c r="Q24" s="190"/>
    </row>
    <row r="26" spans="2:18" x14ac:dyDescent="0.25">
      <c r="C26" s="191" t="s">
        <v>56</v>
      </c>
      <c r="D26" s="190"/>
      <c r="E26" s="190"/>
      <c r="F26" s="190"/>
      <c r="G26" s="190"/>
      <c r="H26" s="190"/>
      <c r="L26" s="191" t="s">
        <v>56</v>
      </c>
      <c r="M26" s="190"/>
      <c r="N26" s="190"/>
      <c r="O26" s="190"/>
      <c r="P26" s="190"/>
      <c r="Q26" s="190"/>
    </row>
    <row r="27" spans="2:18" x14ac:dyDescent="0.25">
      <c r="B27" s="82" t="s">
        <v>50</v>
      </c>
      <c r="C27" s="79" t="s">
        <v>45</v>
      </c>
      <c r="D27" s="80" t="s">
        <v>21</v>
      </c>
      <c r="E27" s="80" t="s">
        <v>22</v>
      </c>
      <c r="F27" s="80" t="s">
        <v>23</v>
      </c>
      <c r="G27" s="80" t="s">
        <v>24</v>
      </c>
      <c r="H27" s="81" t="s">
        <v>25</v>
      </c>
      <c r="K27" s="82" t="s">
        <v>50</v>
      </c>
      <c r="L27" s="79" t="s">
        <v>45</v>
      </c>
      <c r="M27" s="80" t="s">
        <v>21</v>
      </c>
      <c r="N27" s="80" t="s">
        <v>22</v>
      </c>
      <c r="O27" s="80" t="s">
        <v>23</v>
      </c>
      <c r="P27" s="80" t="s">
        <v>24</v>
      </c>
      <c r="Q27" s="81" t="s">
        <v>25</v>
      </c>
    </row>
    <row r="28" spans="2:18" x14ac:dyDescent="0.25">
      <c r="B28" s="12" t="s">
        <v>16</v>
      </c>
      <c r="C28" s="65">
        <v>0.25</v>
      </c>
      <c r="D28" s="66">
        <v>0.25</v>
      </c>
      <c r="E28" s="66">
        <v>0.25</v>
      </c>
      <c r="F28" s="66">
        <v>0.25</v>
      </c>
      <c r="G28" s="66">
        <v>0.25</v>
      </c>
      <c r="H28" s="66">
        <v>0.25</v>
      </c>
      <c r="K28" s="2" t="s">
        <v>51</v>
      </c>
      <c r="L28" s="72">
        <v>44</v>
      </c>
      <c r="M28" s="73">
        <v>44</v>
      </c>
      <c r="N28" s="73">
        <v>44</v>
      </c>
      <c r="O28" s="73">
        <v>44</v>
      </c>
      <c r="P28" s="73">
        <v>44</v>
      </c>
      <c r="Q28" s="73">
        <v>44</v>
      </c>
    </row>
    <row r="29" spans="2:18" x14ac:dyDescent="0.25">
      <c r="B29" s="17" t="s">
        <v>17</v>
      </c>
      <c r="C29" s="58">
        <v>0.25</v>
      </c>
      <c r="D29" s="59">
        <v>0.25</v>
      </c>
      <c r="E29" s="59">
        <v>0.25</v>
      </c>
      <c r="F29" s="59">
        <v>0.25</v>
      </c>
      <c r="G29" s="59">
        <v>0.25</v>
      </c>
      <c r="H29" s="59">
        <v>0.25</v>
      </c>
      <c r="K29" s="2" t="s">
        <v>52</v>
      </c>
      <c r="L29" s="74">
        <v>37.5</v>
      </c>
      <c r="M29" s="75">
        <v>37.5</v>
      </c>
      <c r="N29" s="75">
        <v>37.5</v>
      </c>
      <c r="O29" s="75">
        <v>37.5</v>
      </c>
      <c r="P29" s="75">
        <v>37.5</v>
      </c>
      <c r="Q29" s="75">
        <v>37.5</v>
      </c>
    </row>
    <row r="30" spans="2:18" x14ac:dyDescent="0.25">
      <c r="B30" s="18" t="s">
        <v>18</v>
      </c>
      <c r="C30" s="58">
        <v>0.25</v>
      </c>
      <c r="D30" s="59">
        <v>0.25</v>
      </c>
      <c r="E30" s="59">
        <v>0.25</v>
      </c>
      <c r="F30" s="59">
        <v>0.25</v>
      </c>
      <c r="G30" s="59">
        <v>0.25</v>
      </c>
      <c r="H30" s="59">
        <v>0.25</v>
      </c>
      <c r="K30" s="69" t="s">
        <v>30</v>
      </c>
      <c r="L30" s="76">
        <f>L28*L29</f>
        <v>1650</v>
      </c>
      <c r="M30" s="77">
        <f t="shared" ref="M30:Q30" si="11">M28*M29</f>
        <v>1650</v>
      </c>
      <c r="N30" s="77">
        <f t="shared" si="11"/>
        <v>1650</v>
      </c>
      <c r="O30" s="77">
        <f t="shared" si="11"/>
        <v>1650</v>
      </c>
      <c r="P30" s="77">
        <f t="shared" si="11"/>
        <v>1650</v>
      </c>
      <c r="Q30" s="77">
        <f t="shared" si="11"/>
        <v>1650</v>
      </c>
    </row>
    <row r="31" spans="2:18" x14ac:dyDescent="0.25">
      <c r="B31" s="19" t="s">
        <v>19</v>
      </c>
      <c r="C31" s="67">
        <v>0.25</v>
      </c>
      <c r="D31" s="68">
        <v>0.25</v>
      </c>
      <c r="E31" s="68">
        <v>0.25</v>
      </c>
      <c r="F31" s="68">
        <v>0.25</v>
      </c>
      <c r="G31" s="68">
        <v>0.25</v>
      </c>
      <c r="H31" s="68">
        <v>0.25</v>
      </c>
    </row>
    <row r="32" spans="2:18" x14ac:dyDescent="0.25">
      <c r="B32" s="69" t="s">
        <v>30</v>
      </c>
      <c r="C32" s="70">
        <f t="shared" ref="C32:H32" si="12">SUM(C28:C31)</f>
        <v>1</v>
      </c>
      <c r="D32" s="71">
        <f t="shared" si="12"/>
        <v>1</v>
      </c>
      <c r="E32" s="71">
        <f t="shared" si="12"/>
        <v>1</v>
      </c>
      <c r="F32" s="71">
        <f t="shared" si="12"/>
        <v>1</v>
      </c>
      <c r="G32" s="71">
        <f t="shared" si="12"/>
        <v>1</v>
      </c>
      <c r="H32" s="71">
        <f t="shared" si="12"/>
        <v>1</v>
      </c>
    </row>
  </sheetData>
  <mergeCells count="14">
    <mergeCell ref="B2:I2"/>
    <mergeCell ref="K2:R2"/>
    <mergeCell ref="T2:AA2"/>
    <mergeCell ref="C4:I4"/>
    <mergeCell ref="L4:R4"/>
    <mergeCell ref="U4:AA4"/>
    <mergeCell ref="K24:Q24"/>
    <mergeCell ref="L26:Q26"/>
    <mergeCell ref="B12:I12"/>
    <mergeCell ref="K12:R12"/>
    <mergeCell ref="B24:H24"/>
    <mergeCell ref="C14:I14"/>
    <mergeCell ref="L14:R14"/>
    <mergeCell ref="C26:H26"/>
  </mergeCells>
  <conditionalFormatting sqref="C10">
    <cfRule type="cellIs" dxfId="4" priority="11" operator="notEqual">
      <formula>1</formula>
    </cfRule>
  </conditionalFormatting>
  <conditionalFormatting sqref="C20">
    <cfRule type="cellIs" dxfId="3" priority="7" operator="notEqual">
      <formula>1</formula>
    </cfRule>
  </conditionalFormatting>
  <conditionalFormatting sqref="C28:H31">
    <cfRule type="colorScale" priority="1">
      <colorScale>
        <cfvo type="num" val="0"/>
        <cfvo type="num" val="0.5"/>
        <color theme="0"/>
        <color theme="0" tint="-0.249977111117893"/>
      </colorScale>
    </cfRule>
  </conditionalFormatting>
  <conditionalFormatting sqref="C32:H32">
    <cfRule type="cellIs" dxfId="2" priority="2" operator="notEqual">
      <formula>1</formula>
    </cfRule>
  </conditionalFormatting>
  <conditionalFormatting sqref="C6:I9">
    <cfRule type="colorScale" priority="10">
      <colorScale>
        <cfvo type="num" val="0"/>
        <cfvo type="num" val="0.5"/>
        <color theme="0"/>
        <color theme="0" tint="-0.249977111117893"/>
      </colorScale>
    </cfRule>
  </conditionalFormatting>
  <conditionalFormatting sqref="C16:I19">
    <cfRule type="colorScale" priority="4">
      <colorScale>
        <cfvo type="num" val="0"/>
        <cfvo type="num" val="0.5"/>
        <color theme="0"/>
        <color theme="0" tint="-0.249977111117893"/>
      </colorScale>
    </cfRule>
  </conditionalFormatting>
  <conditionalFormatting sqref="L10">
    <cfRule type="cellIs" dxfId="1" priority="9" operator="notEqual">
      <formula>1</formula>
    </cfRule>
  </conditionalFormatting>
  <conditionalFormatting sqref="L20">
    <cfRule type="cellIs" dxfId="0" priority="8" operator="notEqual">
      <formula>1</formula>
    </cfRule>
  </conditionalFormatting>
  <conditionalFormatting sqref="L6:R9">
    <cfRule type="colorScale" priority="6">
      <colorScale>
        <cfvo type="num" val="0"/>
        <cfvo type="num" val="0.5"/>
        <color theme="0"/>
        <color theme="0" tint="-0.249977111117893"/>
      </colorScale>
    </cfRule>
  </conditionalFormatting>
  <conditionalFormatting sqref="L16:R19">
    <cfRule type="colorScale" priority="3">
      <colorScale>
        <cfvo type="num" val="0"/>
        <cfvo type="num" val="0.5"/>
        <color theme="0"/>
        <color theme="0" tint="-0.249977111117893"/>
      </colorScale>
    </cfRule>
  </conditionalFormatting>
  <conditionalFormatting sqref="U6:AA9">
    <cfRule type="colorScale" priority="5">
      <colorScale>
        <cfvo type="num" val="0"/>
        <cfvo type="num" val="0.5"/>
        <color theme="0"/>
        <color theme="0" tint="-0.249977111117893"/>
      </colorScale>
    </cfRule>
  </conditionalFormatting>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76398-D5F5-464C-98FD-0B950F513835}">
  <sheetPr>
    <tabColor theme="1"/>
  </sheetPr>
  <dimension ref="B2:AA32"/>
  <sheetViews>
    <sheetView workbookViewId="0">
      <selection activeCell="K27" sqref="K27"/>
    </sheetView>
  </sheetViews>
  <sheetFormatPr defaultRowHeight="15" x14ac:dyDescent="0.25"/>
  <cols>
    <col min="1" max="1" width="2.7109375" style="2" customWidth="1"/>
    <col min="2" max="2" width="39.42578125" style="2" bestFit="1" customWidth="1"/>
    <col min="3" max="3" width="9.140625" style="2"/>
    <col min="4" max="4" width="10.42578125" style="2" customWidth="1"/>
    <col min="5" max="8" width="9.140625" style="2"/>
    <col min="9" max="9" width="11.140625" style="2" bestFit="1" customWidth="1"/>
    <col min="10" max="10" width="2.7109375" style="2" customWidth="1"/>
    <col min="11" max="11" width="39.42578125" style="2" bestFit="1" customWidth="1"/>
    <col min="12" max="13" width="10.140625" style="2" bestFit="1" customWidth="1"/>
    <col min="14" max="17" width="9.140625" style="2"/>
    <col min="18" max="18" width="10.140625" style="2" bestFit="1" customWidth="1"/>
    <col min="19" max="19" width="2.7109375" style="2" customWidth="1"/>
    <col min="20" max="20" width="39.42578125" style="2" bestFit="1" customWidth="1"/>
    <col min="21" max="21" width="10.140625" style="2" bestFit="1" customWidth="1"/>
    <col min="22" max="27" width="9.140625" style="2"/>
    <col min="28" max="28" width="2.7109375" style="2" customWidth="1"/>
    <col min="29" max="16384" width="9.140625" style="2"/>
  </cols>
  <sheetData>
    <row r="2" spans="2:27" x14ac:dyDescent="0.25">
      <c r="B2" s="195" t="s">
        <v>46</v>
      </c>
      <c r="C2" s="195"/>
      <c r="D2" s="195"/>
      <c r="E2" s="195"/>
      <c r="F2" s="195"/>
      <c r="G2" s="195"/>
      <c r="H2" s="195"/>
      <c r="I2" s="195"/>
      <c r="K2" s="196" t="s">
        <v>47</v>
      </c>
      <c r="L2" s="196"/>
      <c r="M2" s="196"/>
      <c r="N2" s="196"/>
      <c r="O2" s="196"/>
      <c r="P2" s="196"/>
      <c r="Q2" s="196"/>
      <c r="R2" s="196"/>
      <c r="T2" s="197" t="s">
        <v>53</v>
      </c>
      <c r="U2" s="197"/>
      <c r="V2" s="197"/>
      <c r="W2" s="197"/>
      <c r="X2" s="197"/>
      <c r="Y2" s="197"/>
      <c r="Z2" s="197"/>
      <c r="AA2" s="197"/>
    </row>
    <row r="3" spans="2:27" x14ac:dyDescent="0.25">
      <c r="T3" s="106"/>
      <c r="U3" s="106"/>
      <c r="V3" s="106"/>
      <c r="W3" s="106"/>
      <c r="X3" s="106"/>
      <c r="Y3" s="106"/>
      <c r="Z3" s="106"/>
      <c r="AA3" s="106"/>
    </row>
    <row r="4" spans="2:27" x14ac:dyDescent="0.25">
      <c r="C4" s="198" t="s">
        <v>56</v>
      </c>
      <c r="D4" s="195"/>
      <c r="E4" s="195"/>
      <c r="F4" s="195"/>
      <c r="G4" s="195"/>
      <c r="H4" s="195"/>
      <c r="I4" s="195"/>
      <c r="L4" s="199" t="s">
        <v>56</v>
      </c>
      <c r="M4" s="196"/>
      <c r="N4" s="196"/>
      <c r="O4" s="196"/>
      <c r="P4" s="196"/>
      <c r="Q4" s="196"/>
      <c r="R4" s="196"/>
      <c r="T4" s="106"/>
      <c r="U4" s="200" t="s">
        <v>0</v>
      </c>
      <c r="V4" s="197"/>
      <c r="W4" s="197"/>
      <c r="X4" s="197"/>
      <c r="Y4" s="197"/>
      <c r="Z4" s="197"/>
      <c r="AA4" s="197"/>
    </row>
    <row r="5" spans="2:27" x14ac:dyDescent="0.25">
      <c r="B5" s="83" t="s">
        <v>29</v>
      </c>
      <c r="C5" s="85" t="s">
        <v>45</v>
      </c>
      <c r="D5" s="84" t="s">
        <v>21</v>
      </c>
      <c r="E5" s="84" t="s">
        <v>22</v>
      </c>
      <c r="F5" s="84" t="s">
        <v>23</v>
      </c>
      <c r="G5" s="84" t="s">
        <v>24</v>
      </c>
      <c r="H5" s="84" t="s">
        <v>25</v>
      </c>
      <c r="I5" s="87" t="s">
        <v>30</v>
      </c>
      <c r="K5" s="89" t="s">
        <v>29</v>
      </c>
      <c r="L5" s="90" t="s">
        <v>45</v>
      </c>
      <c r="M5" s="91" t="s">
        <v>21</v>
      </c>
      <c r="N5" s="91" t="s">
        <v>22</v>
      </c>
      <c r="O5" s="91" t="s">
        <v>23</v>
      </c>
      <c r="P5" s="91" t="s">
        <v>24</v>
      </c>
      <c r="Q5" s="91" t="s">
        <v>25</v>
      </c>
      <c r="R5" s="95" t="s">
        <v>30</v>
      </c>
      <c r="T5" s="110" t="s">
        <v>29</v>
      </c>
      <c r="U5" s="111" t="s">
        <v>45</v>
      </c>
      <c r="V5" s="112" t="s">
        <v>21</v>
      </c>
      <c r="W5" s="112" t="s">
        <v>22</v>
      </c>
      <c r="X5" s="112" t="s">
        <v>23</v>
      </c>
      <c r="Y5" s="112" t="s">
        <v>24</v>
      </c>
      <c r="Z5" s="112" t="s">
        <v>25</v>
      </c>
      <c r="AA5" s="113" t="s">
        <v>30</v>
      </c>
    </row>
    <row r="6" spans="2:27" x14ac:dyDescent="0.25">
      <c r="B6" s="104" t="s">
        <v>41</v>
      </c>
      <c r="C6" s="127">
        <f>C$10*'INPUT | BLINE | TASKS'!C6</f>
        <v>5906033.0781010725</v>
      </c>
      <c r="D6" s="123">
        <f>D$10*'INPUT | BLINE | TASKS'!D6</f>
        <v>1904732.949852593</v>
      </c>
      <c r="E6" s="123">
        <f>E$10*'INPUT | BLINE | TASKS'!E6</f>
        <v>586372.00534382381</v>
      </c>
      <c r="F6" s="123">
        <f>F$10*'INPUT | BLINE | TASKS'!F6</f>
        <v>232316.45749745824</v>
      </c>
      <c r="G6" s="123">
        <f>G$10*'INPUT | BLINE | TASKS'!G6</f>
        <v>95229.508308783275</v>
      </c>
      <c r="H6" s="123">
        <f>H$10*'INPUT | BLINE | TASKS'!H6</f>
        <v>116191.82532634838</v>
      </c>
      <c r="I6" s="127">
        <f>SUM(C6:H6)</f>
        <v>8840875.8244300801</v>
      </c>
      <c r="K6" s="104" t="s">
        <v>41</v>
      </c>
      <c r="L6" s="127">
        <f>L$10*'INPUT | BLINE | TASKS'!L6</f>
        <v>5906033.0781010725</v>
      </c>
      <c r="M6" s="123">
        <f>M$10*'INPUT | BLINE | TASKS'!M6</f>
        <v>1904732.949852593</v>
      </c>
      <c r="N6" s="123">
        <f>N$10*'INPUT | BLINE | TASKS'!N6</f>
        <v>586372.00534382381</v>
      </c>
      <c r="O6" s="123">
        <f>O$10*'INPUT | BLINE | TASKS'!O6</f>
        <v>232316.45749745824</v>
      </c>
      <c r="P6" s="123">
        <f>P$10*'INPUT | BLINE | TASKS'!P6</f>
        <v>95229.508308783275</v>
      </c>
      <c r="Q6" s="123">
        <f>Q$10*'INPUT | BLINE | TASKS'!Q6</f>
        <v>116191.82532634838</v>
      </c>
      <c r="R6" s="127">
        <f>SUM(L6:Q6)</f>
        <v>8840875.8244300801</v>
      </c>
      <c r="T6" s="131" t="s">
        <v>41</v>
      </c>
      <c r="U6" s="130">
        <f>C6+L6+C16+L16</f>
        <v>23624132.31240429</v>
      </c>
      <c r="V6" s="132">
        <f t="shared" ref="V6:AA6" si="0">D6+M6+D16+M16</f>
        <v>7618931.799410372</v>
      </c>
      <c r="W6" s="132">
        <f t="shared" si="0"/>
        <v>2345488.0213752952</v>
      </c>
      <c r="X6" s="132">
        <f t="shared" si="0"/>
        <v>929265.82998983294</v>
      </c>
      <c r="Y6" s="132">
        <f t="shared" si="0"/>
        <v>380918.0332351331</v>
      </c>
      <c r="Z6" s="132">
        <f t="shared" si="0"/>
        <v>464767.30130539351</v>
      </c>
      <c r="AA6" s="130">
        <f t="shared" si="0"/>
        <v>35363503.297720321</v>
      </c>
    </row>
    <row r="7" spans="2:27" x14ac:dyDescent="0.25">
      <c r="B7" s="2" t="s">
        <v>39</v>
      </c>
      <c r="C7" s="127">
        <f>C$10*'INPUT | BLINE | TASKS'!C7</f>
        <v>2359992.7258805512</v>
      </c>
      <c r="D7" s="123">
        <f>D$10*'INPUT | BLINE | TASKS'!D7</f>
        <v>1223790.9202802912</v>
      </c>
      <c r="E7" s="123">
        <f>E$10*'INPUT | BLINE | TASKS'!E7</f>
        <v>559327.59419589059</v>
      </c>
      <c r="F7" s="123">
        <f>F$10*'INPUT | BLINE | TASKS'!F7</f>
        <v>191753.26650583855</v>
      </c>
      <c r="G7" s="123">
        <f>G$10*'INPUT | BLINE | TASKS'!G7</f>
        <v>149278.68870025486</v>
      </c>
      <c r="H7" s="123">
        <f>H$10*'INPUT | BLINE | TASKS'!H7</f>
        <v>160880.98891340542</v>
      </c>
      <c r="I7" s="127">
        <f t="shared" ref="I7:I10" si="1">SUM(C7:H7)</f>
        <v>4645024.1844762322</v>
      </c>
      <c r="K7" s="2" t="s">
        <v>39</v>
      </c>
      <c r="L7" s="127">
        <f>L$10*'INPUT | BLINE | TASKS'!L7</f>
        <v>2359992.7258805512</v>
      </c>
      <c r="M7" s="123">
        <f>M$10*'INPUT | BLINE | TASKS'!M7</f>
        <v>1223790.9202802912</v>
      </c>
      <c r="N7" s="123">
        <f>N$10*'INPUT | BLINE | TASKS'!N7</f>
        <v>559327.59419589059</v>
      </c>
      <c r="O7" s="123">
        <f>O$10*'INPUT | BLINE | TASKS'!O7</f>
        <v>191753.26650583855</v>
      </c>
      <c r="P7" s="123">
        <f>P$10*'INPUT | BLINE | TASKS'!P7</f>
        <v>149278.68870025486</v>
      </c>
      <c r="Q7" s="123">
        <f>Q$10*'INPUT | BLINE | TASKS'!Q7</f>
        <v>160880.98891340542</v>
      </c>
      <c r="R7" s="127">
        <f t="shared" ref="R7:R10" si="2">SUM(L7:Q7)</f>
        <v>4645024.1844762322</v>
      </c>
      <c r="T7" s="131" t="s">
        <v>39</v>
      </c>
      <c r="U7" s="130">
        <f t="shared" ref="U7:AA7" si="3">C7+L7+C17+L17</f>
        <v>9439970.9035222046</v>
      </c>
      <c r="V7" s="132">
        <f t="shared" si="3"/>
        <v>4895163.6811211649</v>
      </c>
      <c r="W7" s="132">
        <f t="shared" si="3"/>
        <v>2237310.3767835624</v>
      </c>
      <c r="X7" s="132">
        <f t="shared" si="3"/>
        <v>767013.06602335419</v>
      </c>
      <c r="Y7" s="132">
        <f t="shared" si="3"/>
        <v>597114.75480101944</v>
      </c>
      <c r="Z7" s="132">
        <f t="shared" si="3"/>
        <v>643523.9556536217</v>
      </c>
      <c r="AA7" s="130">
        <f t="shared" si="3"/>
        <v>18580096.737904929</v>
      </c>
    </row>
    <row r="8" spans="2:27" x14ac:dyDescent="0.25">
      <c r="B8" s="2" t="s">
        <v>40</v>
      </c>
      <c r="C8" s="127">
        <f>C$10*'INPUT | BLINE | TASKS'!C8</f>
        <v>2944948.1878509442</v>
      </c>
      <c r="D8" s="123">
        <f>D$10*'INPUT | BLINE | TASKS'!D8</f>
        <v>1119030.6080383984</v>
      </c>
      <c r="E8" s="123">
        <f>E$10*'INPUT | BLINE | TASKS'!E8</f>
        <v>303634.97970634064</v>
      </c>
      <c r="F8" s="123">
        <f>F$10*'INPUT | BLINE | TASKS'!F8</f>
        <v>105095.54029646922</v>
      </c>
      <c r="G8" s="123">
        <f>G$10*'INPUT | BLINE | TASKS'!G8</f>
        <v>79786.885339791392</v>
      </c>
      <c r="H8" s="123">
        <f>H$10*'INPUT | BLINE | TASKS'!H8</f>
        <v>80440.494456702712</v>
      </c>
      <c r="I8" s="127">
        <f t="shared" si="1"/>
        <v>4632936.6956886463</v>
      </c>
      <c r="K8" s="2" t="s">
        <v>40</v>
      </c>
      <c r="L8" s="127">
        <f>L$10*'INPUT | BLINE | TASKS'!L8</f>
        <v>2944948.1878509442</v>
      </c>
      <c r="M8" s="123">
        <f>M$10*'INPUT | BLINE | TASKS'!M8</f>
        <v>1119030.6080383984</v>
      </c>
      <c r="N8" s="123">
        <f>N$10*'INPUT | BLINE | TASKS'!N8</f>
        <v>303634.97970634064</v>
      </c>
      <c r="O8" s="123">
        <f>O$10*'INPUT | BLINE | TASKS'!O8</f>
        <v>105095.54029646922</v>
      </c>
      <c r="P8" s="123">
        <f>P$10*'INPUT | BLINE | TASKS'!P8</f>
        <v>79786.885339791392</v>
      </c>
      <c r="Q8" s="123">
        <f>Q$10*'INPUT | BLINE | TASKS'!Q8</f>
        <v>80440.494456702712</v>
      </c>
      <c r="R8" s="127">
        <f t="shared" si="2"/>
        <v>4632936.6956886463</v>
      </c>
      <c r="T8" s="131" t="s">
        <v>40</v>
      </c>
      <c r="U8" s="130">
        <f t="shared" ref="U8:AA8" si="4">C8+L8+C18+L18</f>
        <v>11779792.751403777</v>
      </c>
      <c r="V8" s="132">
        <f t="shared" si="4"/>
        <v>4476122.4321535937</v>
      </c>
      <c r="W8" s="132">
        <f t="shared" si="4"/>
        <v>1214539.9188253626</v>
      </c>
      <c r="X8" s="132">
        <f t="shared" si="4"/>
        <v>420382.16118587687</v>
      </c>
      <c r="Y8" s="132">
        <f t="shared" si="4"/>
        <v>319147.54135916557</v>
      </c>
      <c r="Z8" s="132">
        <f t="shared" si="4"/>
        <v>321761.97782681085</v>
      </c>
      <c r="AA8" s="130">
        <f t="shared" si="4"/>
        <v>18531746.782754585</v>
      </c>
    </row>
    <row r="9" spans="2:27" x14ac:dyDescent="0.25">
      <c r="B9" s="2" t="s">
        <v>42</v>
      </c>
      <c r="C9" s="127">
        <f>C$10*'INPUT | BLINE | TASKS'!C9</f>
        <v>643451.00816743227</v>
      </c>
      <c r="D9" s="123">
        <f>D$10*'INPUT | BLINE | TASKS'!D9</f>
        <v>761893.1799410372</v>
      </c>
      <c r="E9" s="123">
        <f>E$10*'INPUT | BLINE | TASKS'!E9</f>
        <v>319615.7681119375</v>
      </c>
      <c r="F9" s="123">
        <f>F$10*'INPUT | BLINE | TASKS'!F9</f>
        <v>160408.98255776879</v>
      </c>
      <c r="G9" s="123">
        <f>G$10*'INPUT | BLINE | TASKS'!G9</f>
        <v>84934.426329455338</v>
      </c>
      <c r="H9" s="123">
        <f>H$10*'INPUT | BLINE | TASKS'!H9</f>
        <v>71502.661739291303</v>
      </c>
      <c r="I9" s="127">
        <f t="shared" si="1"/>
        <v>2041806.0268469222</v>
      </c>
      <c r="K9" s="2" t="s">
        <v>42</v>
      </c>
      <c r="L9" s="127">
        <f>L$10*'INPUT | BLINE | TASKS'!L9</f>
        <v>643451.00816743227</v>
      </c>
      <c r="M9" s="123">
        <f>M$10*'INPUT | BLINE | TASKS'!M9</f>
        <v>761893.1799410372</v>
      </c>
      <c r="N9" s="123">
        <f>N$10*'INPUT | BLINE | TASKS'!N9</f>
        <v>319615.7681119375</v>
      </c>
      <c r="O9" s="123">
        <f>O$10*'INPUT | BLINE | TASKS'!O9</f>
        <v>160408.98255776879</v>
      </c>
      <c r="P9" s="123">
        <f>P$10*'INPUT | BLINE | TASKS'!P9</f>
        <v>84934.426329455338</v>
      </c>
      <c r="Q9" s="123">
        <f>Q$10*'INPUT | BLINE | TASKS'!Q9</f>
        <v>71502.661739291303</v>
      </c>
      <c r="R9" s="127">
        <f t="shared" si="2"/>
        <v>2041806.0268469222</v>
      </c>
      <c r="T9" s="131" t="s">
        <v>42</v>
      </c>
      <c r="U9" s="130">
        <f t="shared" ref="U9:AA9" si="5">C9+L9+C19+L19</f>
        <v>2573804.0326697291</v>
      </c>
      <c r="V9" s="132">
        <f t="shared" si="5"/>
        <v>3047572.7197641488</v>
      </c>
      <c r="W9" s="132">
        <f t="shared" si="5"/>
        <v>1278463.07244775</v>
      </c>
      <c r="X9" s="132">
        <f t="shared" si="5"/>
        <v>641635.93023107515</v>
      </c>
      <c r="Y9" s="132">
        <f t="shared" si="5"/>
        <v>339737.70531782135</v>
      </c>
      <c r="Z9" s="132">
        <f t="shared" si="5"/>
        <v>286010.64695716521</v>
      </c>
      <c r="AA9" s="130">
        <f t="shared" si="5"/>
        <v>8167224.1073876889</v>
      </c>
    </row>
    <row r="10" spans="2:27" x14ac:dyDescent="0.25">
      <c r="B10" s="92" t="s">
        <v>30</v>
      </c>
      <c r="C10" s="125">
        <f>C$28</f>
        <v>11854425</v>
      </c>
      <c r="D10" s="126">
        <f t="shared" ref="D10:H10" si="6">D$28</f>
        <v>5009447.6581123201</v>
      </c>
      <c r="E10" s="126">
        <f t="shared" si="6"/>
        <v>1768950.3473579925</v>
      </c>
      <c r="F10" s="126">
        <f t="shared" si="6"/>
        <v>689574.24685753486</v>
      </c>
      <c r="G10" s="126">
        <f t="shared" si="6"/>
        <v>409229.50867828488</v>
      </c>
      <c r="H10" s="126">
        <f t="shared" si="6"/>
        <v>429015.97043574788</v>
      </c>
      <c r="I10" s="125">
        <f t="shared" si="1"/>
        <v>20160642.731441878</v>
      </c>
      <c r="K10" s="92" t="s">
        <v>30</v>
      </c>
      <c r="L10" s="125">
        <f>C$29</f>
        <v>11854425</v>
      </c>
      <c r="M10" s="126">
        <f t="shared" ref="M10:Q10" si="7">D$29</f>
        <v>5009447.6581123201</v>
      </c>
      <c r="N10" s="126">
        <f t="shared" si="7"/>
        <v>1768950.3473579925</v>
      </c>
      <c r="O10" s="126">
        <f t="shared" si="7"/>
        <v>689574.24685753486</v>
      </c>
      <c r="P10" s="126">
        <f t="shared" si="7"/>
        <v>409229.50867828488</v>
      </c>
      <c r="Q10" s="126">
        <f t="shared" si="7"/>
        <v>429015.97043574788</v>
      </c>
      <c r="R10" s="125">
        <f t="shared" si="2"/>
        <v>20160642.731441878</v>
      </c>
      <c r="T10" s="114" t="s">
        <v>30</v>
      </c>
      <c r="U10" s="128">
        <f t="shared" ref="U10:AA10" si="8">C10+L10+C20+L20</f>
        <v>47417700</v>
      </c>
      <c r="V10" s="129">
        <f t="shared" si="8"/>
        <v>20037790.63244928</v>
      </c>
      <c r="W10" s="129">
        <f t="shared" si="8"/>
        <v>7075801.3894319702</v>
      </c>
      <c r="X10" s="129">
        <f t="shared" si="8"/>
        <v>2758296.9874301394</v>
      </c>
      <c r="Y10" s="129">
        <f t="shared" si="8"/>
        <v>1636918.0347131395</v>
      </c>
      <c r="Z10" s="129">
        <f t="shared" si="8"/>
        <v>1716063.8817429915</v>
      </c>
      <c r="AA10" s="128">
        <f t="shared" si="8"/>
        <v>80642570.925767511</v>
      </c>
    </row>
    <row r="12" spans="2:27" x14ac:dyDescent="0.25">
      <c r="B12" s="184" t="s">
        <v>48</v>
      </c>
      <c r="C12" s="184"/>
      <c r="D12" s="184"/>
      <c r="E12" s="184"/>
      <c r="F12" s="184"/>
      <c r="G12" s="184"/>
      <c r="H12" s="184"/>
      <c r="I12" s="184"/>
      <c r="K12" s="192" t="s">
        <v>49</v>
      </c>
      <c r="L12" s="192"/>
      <c r="M12" s="192"/>
      <c r="N12" s="192"/>
      <c r="O12" s="192"/>
      <c r="P12" s="192"/>
      <c r="Q12" s="192"/>
      <c r="R12" s="192"/>
      <c r="AA12" s="1"/>
    </row>
    <row r="14" spans="2:27" x14ac:dyDescent="0.25">
      <c r="C14" s="193" t="s">
        <v>56</v>
      </c>
      <c r="D14" s="184"/>
      <c r="E14" s="184"/>
      <c r="F14" s="184"/>
      <c r="G14" s="184"/>
      <c r="H14" s="184"/>
      <c r="I14" s="184"/>
      <c r="L14" s="194" t="s">
        <v>56</v>
      </c>
      <c r="M14" s="192"/>
      <c r="N14" s="192"/>
      <c r="O14" s="192"/>
      <c r="P14" s="192"/>
      <c r="Q14" s="192"/>
      <c r="R14" s="192"/>
    </row>
    <row r="15" spans="2:27" x14ac:dyDescent="0.25">
      <c r="B15" s="100" t="s">
        <v>29</v>
      </c>
      <c r="C15" s="101" t="s">
        <v>45</v>
      </c>
      <c r="D15" s="102" t="s">
        <v>21</v>
      </c>
      <c r="E15" s="102" t="s">
        <v>22</v>
      </c>
      <c r="F15" s="102" t="s">
        <v>23</v>
      </c>
      <c r="G15" s="102" t="s">
        <v>24</v>
      </c>
      <c r="H15" s="102" t="s">
        <v>25</v>
      </c>
      <c r="I15" s="103" t="s">
        <v>30</v>
      </c>
      <c r="K15" s="96" t="s">
        <v>29</v>
      </c>
      <c r="L15" s="97" t="s">
        <v>45</v>
      </c>
      <c r="M15" s="98" t="s">
        <v>21</v>
      </c>
      <c r="N15" s="98" t="s">
        <v>22</v>
      </c>
      <c r="O15" s="98" t="s">
        <v>23</v>
      </c>
      <c r="P15" s="98" t="s">
        <v>24</v>
      </c>
      <c r="Q15" s="98" t="s">
        <v>25</v>
      </c>
      <c r="R15" s="99" t="s">
        <v>30</v>
      </c>
    </row>
    <row r="16" spans="2:27" x14ac:dyDescent="0.25">
      <c r="B16" s="104" t="s">
        <v>41</v>
      </c>
      <c r="C16" s="127">
        <f>C$20*'INPUT | BLINE | TASKS'!C16</f>
        <v>5906033.0781010725</v>
      </c>
      <c r="D16" s="123">
        <f>D$20*'INPUT | BLINE | TASKS'!D16</f>
        <v>1904732.949852593</v>
      </c>
      <c r="E16" s="123">
        <f>E$20*'INPUT | BLINE | TASKS'!E16</f>
        <v>586372.00534382381</v>
      </c>
      <c r="F16" s="123">
        <f>F$20*'INPUT | BLINE | TASKS'!F16</f>
        <v>232316.45749745824</v>
      </c>
      <c r="G16" s="123">
        <f>G$20*'INPUT | BLINE | TASKS'!G16</f>
        <v>95229.508308783275</v>
      </c>
      <c r="H16" s="123">
        <f>H$20*'INPUT | BLINE | TASKS'!H16</f>
        <v>116191.82532634838</v>
      </c>
      <c r="I16" s="127">
        <f>SUM(C16:H16)</f>
        <v>8840875.8244300801</v>
      </c>
      <c r="K16" s="104" t="s">
        <v>41</v>
      </c>
      <c r="L16" s="127">
        <f>L$20*'INPUT | BLINE | TASKS'!L16</f>
        <v>5906033.0781010725</v>
      </c>
      <c r="M16" s="123">
        <f>M$20*'INPUT | BLINE | TASKS'!M16</f>
        <v>1904732.949852593</v>
      </c>
      <c r="N16" s="123">
        <f>N$20*'INPUT | BLINE | TASKS'!N16</f>
        <v>586372.00534382381</v>
      </c>
      <c r="O16" s="123">
        <f>O$20*'INPUT | BLINE | TASKS'!O16</f>
        <v>232316.45749745824</v>
      </c>
      <c r="P16" s="123">
        <f>P$20*'INPUT | BLINE | TASKS'!P16</f>
        <v>95229.508308783275</v>
      </c>
      <c r="Q16" s="123">
        <f>Q$20*'INPUT | BLINE | TASKS'!Q16</f>
        <v>116191.82532634838</v>
      </c>
      <c r="R16" s="127">
        <f>SUM(L16:Q16)</f>
        <v>8840875.8244300801</v>
      </c>
    </row>
    <row r="17" spans="2:18" x14ac:dyDescent="0.25">
      <c r="B17" s="2" t="s">
        <v>39</v>
      </c>
      <c r="C17" s="127">
        <f>C$20*'INPUT | BLINE | TASKS'!C17</f>
        <v>2359992.7258805512</v>
      </c>
      <c r="D17" s="123">
        <f>D$20*'INPUT | BLINE | TASKS'!D17</f>
        <v>1223790.9202802912</v>
      </c>
      <c r="E17" s="123">
        <f>E$20*'INPUT | BLINE | TASKS'!E17</f>
        <v>559327.59419589059</v>
      </c>
      <c r="F17" s="123">
        <f>F$20*'INPUT | BLINE | TASKS'!F17</f>
        <v>191753.26650583855</v>
      </c>
      <c r="G17" s="123">
        <f>G$20*'INPUT | BLINE | TASKS'!G17</f>
        <v>149278.68870025486</v>
      </c>
      <c r="H17" s="123">
        <f>H$20*'INPUT | BLINE | TASKS'!H17</f>
        <v>160880.98891340542</v>
      </c>
      <c r="I17" s="127">
        <f t="shared" ref="I17:I20" si="9">SUM(C17:H17)</f>
        <v>4645024.1844762322</v>
      </c>
      <c r="K17" s="2" t="s">
        <v>39</v>
      </c>
      <c r="L17" s="127">
        <f>L$20*'INPUT | BLINE | TASKS'!L17</f>
        <v>2359992.7258805512</v>
      </c>
      <c r="M17" s="123">
        <f>M$20*'INPUT | BLINE | TASKS'!M17</f>
        <v>1223790.9202802912</v>
      </c>
      <c r="N17" s="123">
        <f>N$20*'INPUT | BLINE | TASKS'!N17</f>
        <v>559327.59419589059</v>
      </c>
      <c r="O17" s="123">
        <f>O$20*'INPUT | BLINE | TASKS'!O17</f>
        <v>191753.26650583855</v>
      </c>
      <c r="P17" s="123">
        <f>P$20*'INPUT | BLINE | TASKS'!P17</f>
        <v>149278.68870025486</v>
      </c>
      <c r="Q17" s="123">
        <f>Q$20*'INPUT | BLINE | TASKS'!Q17</f>
        <v>160880.98891340542</v>
      </c>
      <c r="R17" s="127">
        <f t="shared" ref="R17:R20" si="10">SUM(L17:Q17)</f>
        <v>4645024.1844762322</v>
      </c>
    </row>
    <row r="18" spans="2:18" x14ac:dyDescent="0.25">
      <c r="B18" s="2" t="s">
        <v>40</v>
      </c>
      <c r="C18" s="127">
        <f>C$20*'INPUT | BLINE | TASKS'!C18</f>
        <v>2944948.1878509442</v>
      </c>
      <c r="D18" s="123">
        <f>D$20*'INPUT | BLINE | TASKS'!D18</f>
        <v>1119030.6080383984</v>
      </c>
      <c r="E18" s="123">
        <f>E$20*'INPUT | BLINE | TASKS'!E18</f>
        <v>303634.97970634064</v>
      </c>
      <c r="F18" s="123">
        <f>F$20*'INPUT | BLINE | TASKS'!F18</f>
        <v>105095.54029646922</v>
      </c>
      <c r="G18" s="123">
        <f>G$20*'INPUT | BLINE | TASKS'!G18</f>
        <v>79786.885339791392</v>
      </c>
      <c r="H18" s="123">
        <f>H$20*'INPUT | BLINE | TASKS'!H18</f>
        <v>80440.494456702712</v>
      </c>
      <c r="I18" s="127">
        <f t="shared" si="9"/>
        <v>4632936.6956886463</v>
      </c>
      <c r="K18" s="2" t="s">
        <v>40</v>
      </c>
      <c r="L18" s="127">
        <f>L$20*'INPUT | BLINE | TASKS'!L18</f>
        <v>2944948.1878509442</v>
      </c>
      <c r="M18" s="123">
        <f>M$20*'INPUT | BLINE | TASKS'!M18</f>
        <v>1119030.6080383984</v>
      </c>
      <c r="N18" s="123">
        <f>N$20*'INPUT | BLINE | TASKS'!N18</f>
        <v>303634.97970634064</v>
      </c>
      <c r="O18" s="123">
        <f>O$20*'INPUT | BLINE | TASKS'!O18</f>
        <v>105095.54029646922</v>
      </c>
      <c r="P18" s="123">
        <f>P$20*'INPUT | BLINE | TASKS'!P18</f>
        <v>79786.885339791392</v>
      </c>
      <c r="Q18" s="123">
        <f>Q$20*'INPUT | BLINE | TASKS'!Q18</f>
        <v>80440.494456702712</v>
      </c>
      <c r="R18" s="127">
        <f t="shared" si="10"/>
        <v>4632936.6956886463</v>
      </c>
    </row>
    <row r="19" spans="2:18" x14ac:dyDescent="0.25">
      <c r="B19" s="2" t="s">
        <v>42</v>
      </c>
      <c r="C19" s="127">
        <f>C$20*'INPUT | BLINE | TASKS'!C19</f>
        <v>643451.00816743227</v>
      </c>
      <c r="D19" s="123">
        <f>D$20*'INPUT | BLINE | TASKS'!D19</f>
        <v>761893.1799410372</v>
      </c>
      <c r="E19" s="123">
        <f>E$20*'INPUT | BLINE | TASKS'!E19</f>
        <v>319615.7681119375</v>
      </c>
      <c r="F19" s="123">
        <f>F$20*'INPUT | BLINE | TASKS'!F19</f>
        <v>160408.98255776879</v>
      </c>
      <c r="G19" s="123">
        <f>G$20*'INPUT | BLINE | TASKS'!G19</f>
        <v>84934.426329455338</v>
      </c>
      <c r="H19" s="123">
        <f>H$20*'INPUT | BLINE | TASKS'!H19</f>
        <v>71502.661739291303</v>
      </c>
      <c r="I19" s="127">
        <f t="shared" si="9"/>
        <v>2041806.0268469222</v>
      </c>
      <c r="K19" s="2" t="s">
        <v>42</v>
      </c>
      <c r="L19" s="127">
        <f>L$20*'INPUT | BLINE | TASKS'!L19</f>
        <v>643451.00816743227</v>
      </c>
      <c r="M19" s="123">
        <f>M$20*'INPUT | BLINE | TASKS'!M19</f>
        <v>761893.1799410372</v>
      </c>
      <c r="N19" s="123">
        <f>N$20*'INPUT | BLINE | TASKS'!N19</f>
        <v>319615.7681119375</v>
      </c>
      <c r="O19" s="123">
        <f>O$20*'INPUT | BLINE | TASKS'!O19</f>
        <v>160408.98255776879</v>
      </c>
      <c r="P19" s="123">
        <f>P$20*'INPUT | BLINE | TASKS'!P19</f>
        <v>84934.426329455338</v>
      </c>
      <c r="Q19" s="123">
        <f>Q$20*'INPUT | BLINE | TASKS'!Q19</f>
        <v>71502.661739291303</v>
      </c>
      <c r="R19" s="127">
        <f t="shared" si="10"/>
        <v>2041806.0268469222</v>
      </c>
    </row>
    <row r="20" spans="2:18" x14ac:dyDescent="0.25">
      <c r="B20" s="92" t="s">
        <v>30</v>
      </c>
      <c r="C20" s="125">
        <f>C$30</f>
        <v>11854425</v>
      </c>
      <c r="D20" s="126">
        <f t="shared" ref="D20:H20" si="11">D$30</f>
        <v>5009447.6581123201</v>
      </c>
      <c r="E20" s="126">
        <f t="shared" si="11"/>
        <v>1768950.3473579925</v>
      </c>
      <c r="F20" s="126">
        <f t="shared" si="11"/>
        <v>689574.24685753486</v>
      </c>
      <c r="G20" s="126">
        <f t="shared" si="11"/>
        <v>409229.50867828488</v>
      </c>
      <c r="H20" s="126">
        <f t="shared" si="11"/>
        <v>429015.97043574788</v>
      </c>
      <c r="I20" s="125">
        <f t="shared" si="9"/>
        <v>20160642.731441878</v>
      </c>
      <c r="K20" s="92" t="s">
        <v>30</v>
      </c>
      <c r="L20" s="125">
        <f>C$31</f>
        <v>11854425</v>
      </c>
      <c r="M20" s="126">
        <f t="shared" ref="M20:Q20" si="12">D$31</f>
        <v>5009447.6581123201</v>
      </c>
      <c r="N20" s="126">
        <f t="shared" si="12"/>
        <v>1768950.3473579925</v>
      </c>
      <c r="O20" s="126">
        <f t="shared" si="12"/>
        <v>689574.24685753486</v>
      </c>
      <c r="P20" s="126">
        <f t="shared" si="12"/>
        <v>409229.50867828488</v>
      </c>
      <c r="Q20" s="126">
        <f t="shared" si="12"/>
        <v>429015.97043574788</v>
      </c>
      <c r="R20" s="125">
        <f t="shared" si="10"/>
        <v>20160642.731441878</v>
      </c>
    </row>
    <row r="21" spans="2:18" x14ac:dyDescent="0.25">
      <c r="B21" s="1"/>
      <c r="C21" s="105"/>
      <c r="D21" s="105"/>
      <c r="E21" s="105"/>
      <c r="F21" s="105"/>
      <c r="G21" s="105"/>
      <c r="H21" s="105"/>
      <c r="I21" s="105"/>
      <c r="K21" s="1"/>
      <c r="L21" s="105"/>
      <c r="M21" s="105"/>
      <c r="N21" s="105"/>
      <c r="O21" s="105"/>
      <c r="P21" s="105"/>
      <c r="Q21" s="105"/>
      <c r="R21" s="105"/>
    </row>
    <row r="22" spans="2:18" x14ac:dyDescent="0.25">
      <c r="B22" s="1"/>
      <c r="C22" s="105"/>
      <c r="D22" s="105"/>
      <c r="E22" s="105"/>
      <c r="F22" s="105"/>
      <c r="G22" s="105"/>
      <c r="H22" s="105"/>
      <c r="I22" s="105"/>
      <c r="K22" s="1"/>
      <c r="L22" s="105"/>
      <c r="M22" s="105"/>
      <c r="N22" s="105"/>
      <c r="O22" s="105"/>
      <c r="P22" s="105"/>
      <c r="Q22" s="105"/>
      <c r="R22" s="105"/>
    </row>
    <row r="24" spans="2:18" x14ac:dyDescent="0.25">
      <c r="B24" s="190" t="s">
        <v>54</v>
      </c>
      <c r="C24" s="190"/>
      <c r="D24" s="190"/>
      <c r="E24" s="190"/>
      <c r="F24" s="190"/>
      <c r="G24" s="190"/>
      <c r="H24" s="190"/>
      <c r="K24" s="190" t="s">
        <v>55</v>
      </c>
      <c r="L24" s="190"/>
      <c r="M24" s="190"/>
      <c r="N24" s="190"/>
      <c r="O24" s="190"/>
      <c r="P24" s="190"/>
      <c r="Q24" s="190"/>
    </row>
    <row r="26" spans="2:18" x14ac:dyDescent="0.25">
      <c r="C26" s="191" t="s">
        <v>56</v>
      </c>
      <c r="D26" s="190"/>
      <c r="E26" s="190"/>
      <c r="F26" s="190"/>
      <c r="G26" s="190"/>
      <c r="H26" s="190"/>
      <c r="L26" s="191" t="s">
        <v>56</v>
      </c>
      <c r="M26" s="205"/>
      <c r="N26" s="205"/>
      <c r="O26" s="205"/>
      <c r="P26" s="205"/>
      <c r="Q26" s="205"/>
    </row>
    <row r="27" spans="2:18" x14ac:dyDescent="0.25">
      <c r="B27" s="82" t="s">
        <v>50</v>
      </c>
      <c r="C27" s="79" t="s">
        <v>45</v>
      </c>
      <c r="D27" s="80" t="s">
        <v>21</v>
      </c>
      <c r="E27" s="80" t="s">
        <v>22</v>
      </c>
      <c r="F27" s="80" t="s">
        <v>23</v>
      </c>
      <c r="G27" s="80" t="s">
        <v>24</v>
      </c>
      <c r="H27" s="81" t="s">
        <v>25</v>
      </c>
      <c r="K27" s="82" t="s">
        <v>50</v>
      </c>
      <c r="L27" s="79" t="s">
        <v>45</v>
      </c>
      <c r="M27" s="80" t="s">
        <v>21</v>
      </c>
      <c r="N27" s="80" t="s">
        <v>22</v>
      </c>
      <c r="O27" s="80" t="s">
        <v>23</v>
      </c>
      <c r="P27" s="80" t="s">
        <v>24</v>
      </c>
      <c r="Q27" s="80" t="s">
        <v>25</v>
      </c>
      <c r="R27" s="206" t="s">
        <v>30</v>
      </c>
    </row>
    <row r="28" spans="2:18" x14ac:dyDescent="0.25">
      <c r="B28" s="12" t="s">
        <v>16</v>
      </c>
      <c r="C28" s="119">
        <f>L$32*'INPUT | BLINE | TASKS'!C28</f>
        <v>11854425</v>
      </c>
      <c r="D28" s="122">
        <f>M$32*'INPUT | BLINE | TASKS'!D28</f>
        <v>5009447.6581123201</v>
      </c>
      <c r="E28" s="122">
        <f>N$32*'INPUT | BLINE | TASKS'!E28</f>
        <v>1768950.3473579925</v>
      </c>
      <c r="F28" s="122">
        <f>O$32*'INPUT | BLINE | TASKS'!F28</f>
        <v>689574.24685753486</v>
      </c>
      <c r="G28" s="122">
        <f>P$32*'INPUT | BLINE | TASKS'!G28</f>
        <v>409229.50867828488</v>
      </c>
      <c r="H28" s="122">
        <f>Q$32*'INPUT | BLINE | TASKS'!H28</f>
        <v>429015.97043574788</v>
      </c>
      <c r="K28" s="2" t="s">
        <v>51</v>
      </c>
      <c r="L28" s="72">
        <f>'INPUT | BLINE | TASKS'!L28</f>
        <v>44</v>
      </c>
      <c r="M28" s="73">
        <f>'INPUT | BLINE | TASKS'!M28</f>
        <v>44</v>
      </c>
      <c r="N28" s="73">
        <f>'INPUT | BLINE | TASKS'!N28</f>
        <v>44</v>
      </c>
      <c r="O28" s="73">
        <f>'INPUT | BLINE | TASKS'!O28</f>
        <v>44</v>
      </c>
      <c r="P28" s="73">
        <f>'INPUT | BLINE | TASKS'!P28</f>
        <v>44</v>
      </c>
      <c r="Q28" s="73">
        <f>'INPUT | BLINE | TASKS'!Q28</f>
        <v>44</v>
      </c>
      <c r="R28" s="11"/>
    </row>
    <row r="29" spans="2:18" x14ac:dyDescent="0.25">
      <c r="B29" s="17" t="s">
        <v>17</v>
      </c>
      <c r="C29" s="120">
        <f>L$32*'INPUT | BLINE | TASKS'!C29</f>
        <v>11854425</v>
      </c>
      <c r="D29" s="123">
        <f>M$32*'INPUT | BLINE | TASKS'!D29</f>
        <v>5009447.6581123201</v>
      </c>
      <c r="E29" s="123">
        <f>N$32*'INPUT | BLINE | TASKS'!E29</f>
        <v>1768950.3473579925</v>
      </c>
      <c r="F29" s="123">
        <f>O$32*'INPUT | BLINE | TASKS'!F29</f>
        <v>689574.24685753486</v>
      </c>
      <c r="G29" s="123">
        <f>P$32*'INPUT | BLINE | TASKS'!G29</f>
        <v>409229.50867828488</v>
      </c>
      <c r="H29" s="123">
        <f>Q$32*'INPUT | BLINE | TASKS'!H29</f>
        <v>429015.97043574788</v>
      </c>
      <c r="K29" s="2" t="s">
        <v>52</v>
      </c>
      <c r="L29" s="74">
        <f>'INPUT | BLINE | TASKS'!L29</f>
        <v>37.5</v>
      </c>
      <c r="M29" s="75">
        <f>'INPUT | BLINE | TASKS'!M29</f>
        <v>37.5</v>
      </c>
      <c r="N29" s="75">
        <f>'INPUT | BLINE | TASKS'!N29</f>
        <v>37.5</v>
      </c>
      <c r="O29" s="75">
        <f>'INPUT | BLINE | TASKS'!O29</f>
        <v>37.5</v>
      </c>
      <c r="P29" s="75">
        <f>'INPUT | BLINE | TASKS'!P29</f>
        <v>37.5</v>
      </c>
      <c r="Q29" s="75">
        <f>'INPUT | BLINE | TASKS'!Q29</f>
        <v>37.5</v>
      </c>
      <c r="R29" s="11"/>
    </row>
    <row r="30" spans="2:18" x14ac:dyDescent="0.25">
      <c r="B30" s="18" t="s">
        <v>18</v>
      </c>
      <c r="C30" s="120">
        <f>L$32*'INPUT | BLINE | TASKS'!C30</f>
        <v>11854425</v>
      </c>
      <c r="D30" s="123">
        <f>M$32*'INPUT | BLINE | TASKS'!D30</f>
        <v>5009447.6581123201</v>
      </c>
      <c r="E30" s="123">
        <f>N$32*'INPUT | BLINE | TASKS'!E30</f>
        <v>1768950.3473579925</v>
      </c>
      <c r="F30" s="123">
        <f>O$32*'INPUT | BLINE | TASKS'!F30</f>
        <v>689574.24685753486</v>
      </c>
      <c r="G30" s="123">
        <f>P$32*'INPUT | BLINE | TASKS'!G30</f>
        <v>409229.50867828488</v>
      </c>
      <c r="H30" s="123">
        <f>Q$32*'INPUT | BLINE | TASKS'!H30</f>
        <v>429015.97043574788</v>
      </c>
      <c r="K30" s="207" t="s">
        <v>57</v>
      </c>
      <c r="L30" s="208">
        <f>'INPUT | BLINE | TASKS'!L30</f>
        <v>1650</v>
      </c>
      <c r="M30" s="209">
        <f>'INPUT | BLINE | TASKS'!M30</f>
        <v>1650</v>
      </c>
      <c r="N30" s="209">
        <f>'INPUT | BLINE | TASKS'!N30</f>
        <v>1650</v>
      </c>
      <c r="O30" s="209">
        <f>'INPUT | BLINE | TASKS'!O30</f>
        <v>1650</v>
      </c>
      <c r="P30" s="209">
        <f>'INPUT | BLINE | TASKS'!P30</f>
        <v>1650</v>
      </c>
      <c r="Q30" s="209">
        <f>'INPUT | BLINE | TASKS'!Q30</f>
        <v>1650</v>
      </c>
      <c r="R30" s="11"/>
    </row>
    <row r="31" spans="2:18" x14ac:dyDescent="0.25">
      <c r="B31" s="19" t="s">
        <v>19</v>
      </c>
      <c r="C31" s="121">
        <f>L$32*'INPUT | BLINE | TASKS'!C31</f>
        <v>11854425</v>
      </c>
      <c r="D31" s="124">
        <f>M$32*'INPUT | BLINE | TASKS'!D31</f>
        <v>5009447.6581123201</v>
      </c>
      <c r="E31" s="124">
        <f>N$32*'INPUT | BLINE | TASKS'!E31</f>
        <v>1768950.3473579925</v>
      </c>
      <c r="F31" s="124">
        <f>O$32*'INPUT | BLINE | TASKS'!F31</f>
        <v>689574.24685753486</v>
      </c>
      <c r="G31" s="124">
        <f>P$32*'INPUT | BLINE | TASKS'!G31</f>
        <v>409229.50867828488</v>
      </c>
      <c r="H31" s="124">
        <f>Q$32*'INPUT | BLINE | TASKS'!H31</f>
        <v>429015.97043574788</v>
      </c>
      <c r="K31" s="210" t="s">
        <v>1</v>
      </c>
      <c r="L31" s="211">
        <f>SUMIF('INPUT | WORKFORCE'!$D:$D,'CALC | BLINE | HOURS'!L$27,'INPUT | WORKFORCE'!$E:$E)</f>
        <v>28738</v>
      </c>
      <c r="M31" s="212">
        <f>SUMIF('INPUT | WORKFORCE'!$D:$D,'CALC | BLINE | HOURS'!M$27,'INPUT | WORKFORCE'!$E:$E)</f>
        <v>12144.115534817745</v>
      </c>
      <c r="N31" s="212">
        <f>SUMIF('INPUT | WORKFORCE'!$D:$D,'CALC | BLINE | HOURS'!N$27,'INPUT | WORKFORCE'!$E:$E)</f>
        <v>4288.3644784436183</v>
      </c>
      <c r="O31" s="212">
        <f>SUMIF('INPUT | WORKFORCE'!$D:$D,'CALC | BLINE | HOURS'!O$27,'INPUT | WORKFORCE'!$E:$E)</f>
        <v>1671.6951438970541</v>
      </c>
      <c r="P31" s="212">
        <f>SUMIF('INPUT | WORKFORCE'!$D:$D,'CALC | BLINE | HOURS'!P$27,'INPUT | WORKFORCE'!$E:$E)</f>
        <v>992.07153618978157</v>
      </c>
      <c r="Q31" s="212">
        <f>SUMIF('INPUT | WORKFORCE'!$D:$D,'CALC | BLINE | HOURS'!Q$27,'INPUT | WORKFORCE'!$E:$E)</f>
        <v>1040.0387162078737</v>
      </c>
      <c r="R31" s="211">
        <f>SUM(L31:Q31)</f>
        <v>48874.285409556076</v>
      </c>
    </row>
    <row r="32" spans="2:18" x14ac:dyDescent="0.25">
      <c r="B32" s="69" t="s">
        <v>30</v>
      </c>
      <c r="C32" s="117">
        <f>SUM(C28:C31)</f>
        <v>47417700</v>
      </c>
      <c r="D32" s="118">
        <f t="shared" ref="D32:H32" si="13">SUM(D28:D31)</f>
        <v>20037790.63244928</v>
      </c>
      <c r="E32" s="118">
        <f t="shared" si="13"/>
        <v>7075801.3894319702</v>
      </c>
      <c r="F32" s="118">
        <f t="shared" si="13"/>
        <v>2758296.9874301394</v>
      </c>
      <c r="G32" s="118">
        <f t="shared" si="13"/>
        <v>1636918.0347131395</v>
      </c>
      <c r="H32" s="118">
        <f t="shared" si="13"/>
        <v>1716063.8817429915</v>
      </c>
      <c r="K32" s="69" t="s">
        <v>30</v>
      </c>
      <c r="L32" s="117">
        <f>L30*L31</f>
        <v>47417700</v>
      </c>
      <c r="M32" s="118">
        <f t="shared" ref="M32:Q32" si="14">M30*M31</f>
        <v>20037790.63244928</v>
      </c>
      <c r="N32" s="118">
        <f t="shared" si="14"/>
        <v>7075801.3894319702</v>
      </c>
      <c r="O32" s="118">
        <f t="shared" si="14"/>
        <v>2758296.9874301394</v>
      </c>
      <c r="P32" s="118">
        <f t="shared" si="14"/>
        <v>1636918.0347131395</v>
      </c>
      <c r="Q32" s="118">
        <f t="shared" si="14"/>
        <v>1716063.8817429915</v>
      </c>
      <c r="R32" s="117">
        <f>SUM(L32:Q32)</f>
        <v>80642570.925767511</v>
      </c>
    </row>
  </sheetData>
  <mergeCells count="14">
    <mergeCell ref="B2:I2"/>
    <mergeCell ref="K2:R2"/>
    <mergeCell ref="T2:AA2"/>
    <mergeCell ref="C4:I4"/>
    <mergeCell ref="L4:R4"/>
    <mergeCell ref="U4:AA4"/>
    <mergeCell ref="C26:H26"/>
    <mergeCell ref="L26:Q26"/>
    <mergeCell ref="B12:I12"/>
    <mergeCell ref="K12:R12"/>
    <mergeCell ref="C14:I14"/>
    <mergeCell ref="L14:R14"/>
    <mergeCell ref="B24:H24"/>
    <mergeCell ref="K24:Q24"/>
  </mergeCell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40D24-BD77-4484-A42F-8D6E7BE96E41}">
  <sheetPr>
    <tabColor theme="1"/>
  </sheetPr>
  <dimension ref="B2:AA32"/>
  <sheetViews>
    <sheetView tabSelected="1" topLeftCell="B1" workbookViewId="0">
      <selection activeCell="K27" sqref="K27:R32"/>
    </sheetView>
  </sheetViews>
  <sheetFormatPr defaultRowHeight="15" x14ac:dyDescent="0.25"/>
  <cols>
    <col min="1" max="1" width="2.7109375" style="2" customWidth="1"/>
    <col min="2" max="2" width="39.42578125" style="2" bestFit="1" customWidth="1"/>
    <col min="3" max="3" width="9.140625" style="2"/>
    <col min="4" max="4" width="10.140625" style="2" bestFit="1" customWidth="1"/>
    <col min="5" max="8" width="9.140625" style="2"/>
    <col min="9" max="9" width="11.140625" style="2" bestFit="1" customWidth="1"/>
    <col min="10" max="10" width="2.7109375" style="2" customWidth="1"/>
    <col min="11" max="11" width="39.42578125" style="2" bestFit="1" customWidth="1"/>
    <col min="12" max="13" width="10.140625" style="2" bestFit="1" customWidth="1"/>
    <col min="14" max="17" width="9.140625" style="2"/>
    <col min="18" max="18" width="10.140625" style="2" bestFit="1" customWidth="1"/>
    <col min="19" max="19" width="2.7109375" style="2" customWidth="1"/>
    <col min="20" max="20" width="39.42578125" style="2" bestFit="1" customWidth="1"/>
    <col min="21" max="21" width="10.140625" style="2" bestFit="1" customWidth="1"/>
    <col min="22" max="27" width="9.140625" style="2"/>
    <col min="28" max="28" width="2.7109375" style="2" customWidth="1"/>
    <col min="29" max="16384" width="9.140625" style="2"/>
  </cols>
  <sheetData>
    <row r="2" spans="2:27" x14ac:dyDescent="0.25">
      <c r="B2" s="195" t="s">
        <v>46</v>
      </c>
      <c r="C2" s="195"/>
      <c r="D2" s="195"/>
      <c r="E2" s="195"/>
      <c r="F2" s="195"/>
      <c r="G2" s="195"/>
      <c r="H2" s="195"/>
      <c r="I2" s="195"/>
      <c r="K2" s="196" t="s">
        <v>47</v>
      </c>
      <c r="L2" s="196"/>
      <c r="M2" s="196"/>
      <c r="N2" s="196"/>
      <c r="O2" s="196"/>
      <c r="P2" s="196"/>
      <c r="Q2" s="196"/>
      <c r="R2" s="196"/>
      <c r="T2" s="197" t="s">
        <v>53</v>
      </c>
      <c r="U2" s="197"/>
      <c r="V2" s="197"/>
      <c r="W2" s="197"/>
      <c r="X2" s="197"/>
      <c r="Y2" s="197"/>
      <c r="Z2" s="197"/>
      <c r="AA2" s="197"/>
    </row>
    <row r="3" spans="2:27" x14ac:dyDescent="0.25">
      <c r="T3" s="106"/>
      <c r="U3" s="106"/>
      <c r="V3" s="106"/>
      <c r="W3" s="106"/>
      <c r="X3" s="106"/>
      <c r="Y3" s="106"/>
      <c r="Z3" s="106"/>
      <c r="AA3" s="106"/>
    </row>
    <row r="4" spans="2:27" x14ac:dyDescent="0.25">
      <c r="C4" s="198" t="s">
        <v>56</v>
      </c>
      <c r="D4" s="195"/>
      <c r="E4" s="195"/>
      <c r="F4" s="195"/>
      <c r="G4" s="195"/>
      <c r="H4" s="195"/>
      <c r="I4" s="195"/>
      <c r="L4" s="199" t="s">
        <v>56</v>
      </c>
      <c r="M4" s="196"/>
      <c r="N4" s="196"/>
      <c r="O4" s="196"/>
      <c r="P4" s="196"/>
      <c r="Q4" s="196"/>
      <c r="R4" s="196"/>
      <c r="T4" s="106"/>
      <c r="U4" s="200" t="s">
        <v>0</v>
      </c>
      <c r="V4" s="197"/>
      <c r="W4" s="197"/>
      <c r="X4" s="197"/>
      <c r="Y4" s="197"/>
      <c r="Z4" s="197"/>
      <c r="AA4" s="197"/>
    </row>
    <row r="5" spans="2:27" x14ac:dyDescent="0.25">
      <c r="B5" s="83" t="s">
        <v>29</v>
      </c>
      <c r="C5" s="85" t="s">
        <v>45</v>
      </c>
      <c r="D5" s="84" t="s">
        <v>21</v>
      </c>
      <c r="E5" s="84" t="s">
        <v>22</v>
      </c>
      <c r="F5" s="84" t="s">
        <v>23</v>
      </c>
      <c r="G5" s="84" t="s">
        <v>24</v>
      </c>
      <c r="H5" s="84" t="s">
        <v>25</v>
      </c>
      <c r="I5" s="87" t="s">
        <v>30</v>
      </c>
      <c r="K5" s="89" t="s">
        <v>29</v>
      </c>
      <c r="L5" s="90" t="s">
        <v>45</v>
      </c>
      <c r="M5" s="91" t="s">
        <v>21</v>
      </c>
      <c r="N5" s="91" t="s">
        <v>22</v>
      </c>
      <c r="O5" s="91" t="s">
        <v>23</v>
      </c>
      <c r="P5" s="91" t="s">
        <v>24</v>
      </c>
      <c r="Q5" s="91" t="s">
        <v>25</v>
      </c>
      <c r="R5" s="95" t="s">
        <v>30</v>
      </c>
      <c r="T5" s="110" t="s">
        <v>29</v>
      </c>
      <c r="U5" s="111" t="s">
        <v>45</v>
      </c>
      <c r="V5" s="112" t="s">
        <v>21</v>
      </c>
      <c r="W5" s="112" t="s">
        <v>22</v>
      </c>
      <c r="X5" s="112" t="s">
        <v>23</v>
      </c>
      <c r="Y5" s="112" t="s">
        <v>24</v>
      </c>
      <c r="Z5" s="112" t="s">
        <v>25</v>
      </c>
      <c r="AA5" s="113" t="s">
        <v>30</v>
      </c>
    </row>
    <row r="6" spans="2:27" x14ac:dyDescent="0.25">
      <c r="B6" s="104" t="s">
        <v>41</v>
      </c>
      <c r="C6" s="127">
        <f>C$10*'INPUT | FCAST | TASKS'!C6</f>
        <v>5906033.0781010725</v>
      </c>
      <c r="D6" s="123">
        <f>D$10*'INPUT | FCAST | TASKS'!D6</f>
        <v>1904732.949852593</v>
      </c>
      <c r="E6" s="123">
        <f>E$10*'INPUT | FCAST | TASKS'!E6</f>
        <v>586372.00534382381</v>
      </c>
      <c r="F6" s="123">
        <f>F$10*'INPUT | FCAST | TASKS'!F6</f>
        <v>232316.45749745824</v>
      </c>
      <c r="G6" s="123">
        <f>G$10*'INPUT | FCAST | TASKS'!G6</f>
        <v>95229.508308783275</v>
      </c>
      <c r="H6" s="123">
        <f>H$10*'INPUT | FCAST | TASKS'!H6</f>
        <v>116191.82532634838</v>
      </c>
      <c r="I6" s="127">
        <f>SUM(C6:H6)</f>
        <v>8840875.8244300801</v>
      </c>
      <c r="K6" s="104" t="s">
        <v>41</v>
      </c>
      <c r="L6" s="127">
        <f>L$10*'INPUT | FCAST | TASKS'!L6</f>
        <v>5906033.0781010725</v>
      </c>
      <c r="M6" s="123">
        <f>M$10*'INPUT | FCAST | TASKS'!M6</f>
        <v>1904732.949852593</v>
      </c>
      <c r="N6" s="123">
        <f>N$10*'INPUT | FCAST | TASKS'!N6</f>
        <v>586372.00534382381</v>
      </c>
      <c r="O6" s="123">
        <f>O$10*'INPUT | FCAST | TASKS'!O6</f>
        <v>232316.45749745824</v>
      </c>
      <c r="P6" s="123">
        <f>P$10*'INPUT | FCAST | TASKS'!P6</f>
        <v>95229.508308783275</v>
      </c>
      <c r="Q6" s="123">
        <f>Q$10*'INPUT | FCAST | TASKS'!Q6</f>
        <v>116191.82532634838</v>
      </c>
      <c r="R6" s="127">
        <f>SUM(L6:Q6)</f>
        <v>8840875.8244300801</v>
      </c>
      <c r="T6" s="131" t="s">
        <v>41</v>
      </c>
      <c r="U6" s="130">
        <f>C6+L6+C16+L16</f>
        <v>23624132.31240429</v>
      </c>
      <c r="V6" s="132">
        <f t="shared" ref="V6:AA6" si="0">D6+M6+D16+M16</f>
        <v>7618931.799410372</v>
      </c>
      <c r="W6" s="132">
        <f t="shared" si="0"/>
        <v>2345488.0213752952</v>
      </c>
      <c r="X6" s="132">
        <f t="shared" si="0"/>
        <v>929265.82998983294</v>
      </c>
      <c r="Y6" s="132">
        <f t="shared" si="0"/>
        <v>380918.0332351331</v>
      </c>
      <c r="Z6" s="132">
        <f t="shared" si="0"/>
        <v>464767.30130539351</v>
      </c>
      <c r="AA6" s="130">
        <f t="shared" si="0"/>
        <v>35363503.297720321</v>
      </c>
    </row>
    <row r="7" spans="2:27" x14ac:dyDescent="0.25">
      <c r="B7" s="2" t="s">
        <v>39</v>
      </c>
      <c r="C7" s="127">
        <f>C$10*'INPUT | FCAST | TASKS'!C7</f>
        <v>2359992.7258805512</v>
      </c>
      <c r="D7" s="123">
        <f>D$10*'INPUT | FCAST | TASKS'!D7</f>
        <v>1223790.9202802912</v>
      </c>
      <c r="E7" s="123">
        <f>E$10*'INPUT | FCAST | TASKS'!E7</f>
        <v>559327.59419589059</v>
      </c>
      <c r="F7" s="123">
        <f>F$10*'INPUT | FCAST | TASKS'!F7</f>
        <v>191753.26650583855</v>
      </c>
      <c r="G7" s="123">
        <f>G$10*'INPUT | FCAST | TASKS'!G7</f>
        <v>149278.68870025486</v>
      </c>
      <c r="H7" s="123">
        <f>H$10*'INPUT | FCAST | TASKS'!H7</f>
        <v>160880.98891340542</v>
      </c>
      <c r="I7" s="127">
        <f t="shared" ref="I7:I10" si="1">SUM(C7:H7)</f>
        <v>4645024.1844762322</v>
      </c>
      <c r="K7" s="2" t="s">
        <v>39</v>
      </c>
      <c r="L7" s="127">
        <f>L$10*'INPUT | FCAST | TASKS'!L7</f>
        <v>2359992.7258805512</v>
      </c>
      <c r="M7" s="123">
        <f>M$10*'INPUT | FCAST | TASKS'!M7</f>
        <v>1223790.9202802912</v>
      </c>
      <c r="N7" s="123">
        <f>N$10*'INPUT | FCAST | TASKS'!N7</f>
        <v>559327.59419589059</v>
      </c>
      <c r="O7" s="123">
        <f>O$10*'INPUT | FCAST | TASKS'!O7</f>
        <v>191753.26650583855</v>
      </c>
      <c r="P7" s="123">
        <f>P$10*'INPUT | FCAST | TASKS'!P7</f>
        <v>149278.68870025486</v>
      </c>
      <c r="Q7" s="123">
        <f>Q$10*'INPUT | FCAST | TASKS'!Q7</f>
        <v>160880.98891340542</v>
      </c>
      <c r="R7" s="127">
        <f t="shared" ref="R7:R10" si="2">SUM(L7:Q7)</f>
        <v>4645024.1844762322</v>
      </c>
      <c r="T7" s="131" t="s">
        <v>39</v>
      </c>
      <c r="U7" s="130">
        <f t="shared" ref="U7:AA10" si="3">C7+L7+C17+L17</f>
        <v>9439970.9035222046</v>
      </c>
      <c r="V7" s="132">
        <f t="shared" si="3"/>
        <v>4895163.6811211649</v>
      </c>
      <c r="W7" s="132">
        <f t="shared" si="3"/>
        <v>2237310.3767835624</v>
      </c>
      <c r="X7" s="132">
        <f t="shared" si="3"/>
        <v>767013.06602335419</v>
      </c>
      <c r="Y7" s="132">
        <f t="shared" si="3"/>
        <v>597114.75480101944</v>
      </c>
      <c r="Z7" s="132">
        <f t="shared" si="3"/>
        <v>643523.9556536217</v>
      </c>
      <c r="AA7" s="130">
        <f t="shared" si="3"/>
        <v>18580096.737904929</v>
      </c>
    </row>
    <row r="8" spans="2:27" x14ac:dyDescent="0.25">
      <c r="B8" s="2" t="s">
        <v>40</v>
      </c>
      <c r="C8" s="127">
        <f>C$10*'INPUT | FCAST | TASKS'!C8</f>
        <v>2944948.1878509442</v>
      </c>
      <c r="D8" s="123">
        <f>D$10*'INPUT | FCAST | TASKS'!D8</f>
        <v>1119030.6080383984</v>
      </c>
      <c r="E8" s="123">
        <f>E$10*'INPUT | FCAST | TASKS'!E8</f>
        <v>303634.97970634064</v>
      </c>
      <c r="F8" s="123">
        <f>F$10*'INPUT | FCAST | TASKS'!F8</f>
        <v>105095.54029646922</v>
      </c>
      <c r="G8" s="123">
        <f>G$10*'INPUT | FCAST | TASKS'!G8</f>
        <v>79786.885339791392</v>
      </c>
      <c r="H8" s="123">
        <f>H$10*'INPUT | FCAST | TASKS'!H8</f>
        <v>80440.494456702712</v>
      </c>
      <c r="I8" s="127">
        <f t="shared" si="1"/>
        <v>4632936.6956886463</v>
      </c>
      <c r="K8" s="2" t="s">
        <v>40</v>
      </c>
      <c r="L8" s="127">
        <f>L$10*'INPUT | FCAST | TASKS'!L8</f>
        <v>2944948.1878509442</v>
      </c>
      <c r="M8" s="123">
        <f>M$10*'INPUT | FCAST | TASKS'!M8</f>
        <v>1119030.6080383984</v>
      </c>
      <c r="N8" s="123">
        <f>N$10*'INPUT | FCAST | TASKS'!N8</f>
        <v>303634.97970634064</v>
      </c>
      <c r="O8" s="123">
        <f>O$10*'INPUT | FCAST | TASKS'!O8</f>
        <v>105095.54029646922</v>
      </c>
      <c r="P8" s="123">
        <f>P$10*'INPUT | FCAST | TASKS'!P8</f>
        <v>79786.885339791392</v>
      </c>
      <c r="Q8" s="123">
        <f>Q$10*'INPUT | FCAST | TASKS'!Q8</f>
        <v>80440.494456702712</v>
      </c>
      <c r="R8" s="127">
        <f t="shared" si="2"/>
        <v>4632936.6956886463</v>
      </c>
      <c r="T8" s="131" t="s">
        <v>40</v>
      </c>
      <c r="U8" s="130">
        <f t="shared" si="3"/>
        <v>11779792.751403777</v>
      </c>
      <c r="V8" s="132">
        <f t="shared" si="3"/>
        <v>4476122.4321535937</v>
      </c>
      <c r="W8" s="132">
        <f t="shared" si="3"/>
        <v>1214539.9188253626</v>
      </c>
      <c r="X8" s="132">
        <f t="shared" si="3"/>
        <v>420382.16118587687</v>
      </c>
      <c r="Y8" s="132">
        <f t="shared" si="3"/>
        <v>319147.54135916557</v>
      </c>
      <c r="Z8" s="132">
        <f t="shared" si="3"/>
        <v>321761.97782681085</v>
      </c>
      <c r="AA8" s="130">
        <f t="shared" si="3"/>
        <v>18531746.782754585</v>
      </c>
    </row>
    <row r="9" spans="2:27" x14ac:dyDescent="0.25">
      <c r="B9" s="2" t="s">
        <v>42</v>
      </c>
      <c r="C9" s="127">
        <f>C$10*'INPUT | FCAST | TASKS'!C9</f>
        <v>643451.00816743227</v>
      </c>
      <c r="D9" s="123">
        <f>D$10*'INPUT | FCAST | TASKS'!D9</f>
        <v>761893.1799410372</v>
      </c>
      <c r="E9" s="123">
        <f>E$10*'INPUT | FCAST | TASKS'!E9</f>
        <v>319615.7681119375</v>
      </c>
      <c r="F9" s="123">
        <f>F$10*'INPUT | FCAST | TASKS'!F9</f>
        <v>160408.98255776879</v>
      </c>
      <c r="G9" s="123">
        <f>G$10*'INPUT | FCAST | TASKS'!G9</f>
        <v>84934.426329455338</v>
      </c>
      <c r="H9" s="123">
        <f>H$10*'INPUT | FCAST | TASKS'!H9</f>
        <v>71502.661739291303</v>
      </c>
      <c r="I9" s="127">
        <f t="shared" si="1"/>
        <v>2041806.0268469222</v>
      </c>
      <c r="K9" s="2" t="s">
        <v>42</v>
      </c>
      <c r="L9" s="127">
        <f>L$10*'INPUT | FCAST | TASKS'!L9</f>
        <v>643451.00816743227</v>
      </c>
      <c r="M9" s="123">
        <f>M$10*'INPUT | FCAST | TASKS'!M9</f>
        <v>761893.1799410372</v>
      </c>
      <c r="N9" s="123">
        <f>N$10*'INPUT | FCAST | TASKS'!N9</f>
        <v>319615.7681119375</v>
      </c>
      <c r="O9" s="123">
        <f>O$10*'INPUT | FCAST | TASKS'!O9</f>
        <v>160408.98255776879</v>
      </c>
      <c r="P9" s="123">
        <f>P$10*'INPUT | FCAST | TASKS'!P9</f>
        <v>84934.426329455338</v>
      </c>
      <c r="Q9" s="123">
        <f>Q$10*'INPUT | FCAST | TASKS'!Q9</f>
        <v>71502.661739291303</v>
      </c>
      <c r="R9" s="127">
        <f t="shared" si="2"/>
        <v>2041806.0268469222</v>
      </c>
      <c r="T9" s="131" t="s">
        <v>42</v>
      </c>
      <c r="U9" s="130">
        <f t="shared" si="3"/>
        <v>2573804.0326697291</v>
      </c>
      <c r="V9" s="132">
        <f t="shared" si="3"/>
        <v>3047572.7197641488</v>
      </c>
      <c r="W9" s="132">
        <f t="shared" si="3"/>
        <v>1278463.07244775</v>
      </c>
      <c r="X9" s="132">
        <f t="shared" si="3"/>
        <v>641635.93023107515</v>
      </c>
      <c r="Y9" s="132">
        <f t="shared" si="3"/>
        <v>339737.70531782135</v>
      </c>
      <c r="Z9" s="132">
        <f t="shared" si="3"/>
        <v>286010.64695716521</v>
      </c>
      <c r="AA9" s="130">
        <f t="shared" si="3"/>
        <v>8167224.1073876889</v>
      </c>
    </row>
    <row r="10" spans="2:27" x14ac:dyDescent="0.25">
      <c r="B10" s="92" t="s">
        <v>30</v>
      </c>
      <c r="C10" s="125">
        <f>C$28</f>
        <v>11854425</v>
      </c>
      <c r="D10" s="126">
        <f t="shared" ref="D10:H10" si="4">D$28</f>
        <v>5009447.6581123201</v>
      </c>
      <c r="E10" s="126">
        <f t="shared" si="4"/>
        <v>1768950.3473579925</v>
      </c>
      <c r="F10" s="126">
        <f t="shared" si="4"/>
        <v>689574.24685753486</v>
      </c>
      <c r="G10" s="126">
        <f t="shared" si="4"/>
        <v>409229.50867828488</v>
      </c>
      <c r="H10" s="126">
        <f t="shared" si="4"/>
        <v>429015.97043574788</v>
      </c>
      <c r="I10" s="125">
        <f t="shared" si="1"/>
        <v>20160642.731441878</v>
      </c>
      <c r="K10" s="92" t="s">
        <v>30</v>
      </c>
      <c r="L10" s="125">
        <f>C$29</f>
        <v>11854425</v>
      </c>
      <c r="M10" s="126">
        <f t="shared" ref="M10:Q10" si="5">D$29</f>
        <v>5009447.6581123201</v>
      </c>
      <c r="N10" s="126">
        <f t="shared" si="5"/>
        <v>1768950.3473579925</v>
      </c>
      <c r="O10" s="126">
        <f t="shared" si="5"/>
        <v>689574.24685753486</v>
      </c>
      <c r="P10" s="126">
        <f t="shared" si="5"/>
        <v>409229.50867828488</v>
      </c>
      <c r="Q10" s="126">
        <f t="shared" si="5"/>
        <v>429015.97043574788</v>
      </c>
      <c r="R10" s="125">
        <f t="shared" si="2"/>
        <v>20160642.731441878</v>
      </c>
      <c r="T10" s="114" t="s">
        <v>30</v>
      </c>
      <c r="U10" s="128">
        <f t="shared" si="3"/>
        <v>47417700</v>
      </c>
      <c r="V10" s="129">
        <f t="shared" si="3"/>
        <v>20037790.63244928</v>
      </c>
      <c r="W10" s="129">
        <f t="shared" si="3"/>
        <v>7075801.3894319702</v>
      </c>
      <c r="X10" s="129">
        <f t="shared" si="3"/>
        <v>2758296.9874301394</v>
      </c>
      <c r="Y10" s="129">
        <f t="shared" si="3"/>
        <v>1636918.0347131395</v>
      </c>
      <c r="Z10" s="129">
        <f t="shared" si="3"/>
        <v>1716063.8817429915</v>
      </c>
      <c r="AA10" s="128">
        <f t="shared" si="3"/>
        <v>80642570.925767511</v>
      </c>
    </row>
    <row r="12" spans="2:27" x14ac:dyDescent="0.25">
      <c r="B12" s="184" t="s">
        <v>48</v>
      </c>
      <c r="C12" s="184"/>
      <c r="D12" s="184"/>
      <c r="E12" s="184"/>
      <c r="F12" s="184"/>
      <c r="G12" s="184"/>
      <c r="H12" s="184"/>
      <c r="I12" s="184"/>
      <c r="K12" s="192" t="s">
        <v>49</v>
      </c>
      <c r="L12" s="192"/>
      <c r="M12" s="192"/>
      <c r="N12" s="192"/>
      <c r="O12" s="192"/>
      <c r="P12" s="192"/>
      <c r="Q12" s="192"/>
      <c r="R12" s="192"/>
      <c r="AA12" s="1"/>
    </row>
    <row r="14" spans="2:27" x14ac:dyDescent="0.25">
      <c r="C14" s="193" t="s">
        <v>56</v>
      </c>
      <c r="D14" s="184"/>
      <c r="E14" s="184"/>
      <c r="F14" s="184"/>
      <c r="G14" s="184"/>
      <c r="H14" s="184"/>
      <c r="I14" s="184"/>
      <c r="L14" s="194" t="s">
        <v>56</v>
      </c>
      <c r="M14" s="192"/>
      <c r="N14" s="192"/>
      <c r="O14" s="192"/>
      <c r="P14" s="192"/>
      <c r="Q14" s="192"/>
      <c r="R14" s="192"/>
    </row>
    <row r="15" spans="2:27" x14ac:dyDescent="0.25">
      <c r="B15" s="100" t="s">
        <v>29</v>
      </c>
      <c r="C15" s="101" t="s">
        <v>45</v>
      </c>
      <c r="D15" s="102" t="s">
        <v>21</v>
      </c>
      <c r="E15" s="102" t="s">
        <v>22</v>
      </c>
      <c r="F15" s="102" t="s">
        <v>23</v>
      </c>
      <c r="G15" s="102" t="s">
        <v>24</v>
      </c>
      <c r="H15" s="102" t="s">
        <v>25</v>
      </c>
      <c r="I15" s="103" t="s">
        <v>30</v>
      </c>
      <c r="K15" s="96" t="s">
        <v>29</v>
      </c>
      <c r="L15" s="97" t="s">
        <v>45</v>
      </c>
      <c r="M15" s="98" t="s">
        <v>21</v>
      </c>
      <c r="N15" s="98" t="s">
        <v>22</v>
      </c>
      <c r="O15" s="98" t="s">
        <v>23</v>
      </c>
      <c r="P15" s="98" t="s">
        <v>24</v>
      </c>
      <c r="Q15" s="98" t="s">
        <v>25</v>
      </c>
      <c r="R15" s="99" t="s">
        <v>30</v>
      </c>
    </row>
    <row r="16" spans="2:27" x14ac:dyDescent="0.25">
      <c r="B16" s="104" t="s">
        <v>41</v>
      </c>
      <c r="C16" s="127">
        <f>C$20*'INPUT | FCAST | TASKS'!C16</f>
        <v>5906033.0781010725</v>
      </c>
      <c r="D16" s="123">
        <f>D$20*'INPUT | FCAST | TASKS'!D16</f>
        <v>1904732.949852593</v>
      </c>
      <c r="E16" s="123">
        <f>E$20*'INPUT | FCAST | TASKS'!E16</f>
        <v>586372.00534382381</v>
      </c>
      <c r="F16" s="123">
        <f>F$20*'INPUT | FCAST | TASKS'!F16</f>
        <v>232316.45749745824</v>
      </c>
      <c r="G16" s="123">
        <f>G$20*'INPUT | FCAST | TASKS'!G16</f>
        <v>95229.508308783275</v>
      </c>
      <c r="H16" s="123">
        <f>H$20*'INPUT | FCAST | TASKS'!H16</f>
        <v>116191.82532634838</v>
      </c>
      <c r="I16" s="127">
        <f>SUM(C16:H16)</f>
        <v>8840875.8244300801</v>
      </c>
      <c r="K16" s="104" t="s">
        <v>41</v>
      </c>
      <c r="L16" s="127">
        <f>L$20*'INPUT | FCAST | TASKS'!L16</f>
        <v>5906033.0781010725</v>
      </c>
      <c r="M16" s="123">
        <f>M$20*'INPUT | FCAST | TASKS'!M16</f>
        <v>1904732.949852593</v>
      </c>
      <c r="N16" s="123">
        <f>N$20*'INPUT | FCAST | TASKS'!N16</f>
        <v>586372.00534382381</v>
      </c>
      <c r="O16" s="123">
        <f>O$20*'INPUT | FCAST | TASKS'!O16</f>
        <v>232316.45749745824</v>
      </c>
      <c r="P16" s="123">
        <f>P$20*'INPUT | FCAST | TASKS'!P16</f>
        <v>95229.508308783275</v>
      </c>
      <c r="Q16" s="123">
        <f>Q$20*'INPUT | FCAST | TASKS'!Q16</f>
        <v>116191.82532634838</v>
      </c>
      <c r="R16" s="127">
        <f>SUM(L16:Q16)</f>
        <v>8840875.8244300801</v>
      </c>
    </row>
    <row r="17" spans="2:18" x14ac:dyDescent="0.25">
      <c r="B17" s="2" t="s">
        <v>39</v>
      </c>
      <c r="C17" s="127">
        <f>C$20*'INPUT | FCAST | TASKS'!C17</f>
        <v>2359992.7258805512</v>
      </c>
      <c r="D17" s="123">
        <f>D$20*'INPUT | FCAST | TASKS'!D17</f>
        <v>1223790.9202802912</v>
      </c>
      <c r="E17" s="123">
        <f>E$20*'INPUT | FCAST | TASKS'!E17</f>
        <v>559327.59419589059</v>
      </c>
      <c r="F17" s="123">
        <f>F$20*'INPUT | FCAST | TASKS'!F17</f>
        <v>191753.26650583855</v>
      </c>
      <c r="G17" s="123">
        <f>G$20*'INPUT | FCAST | TASKS'!G17</f>
        <v>149278.68870025486</v>
      </c>
      <c r="H17" s="123">
        <f>H$20*'INPUT | FCAST | TASKS'!H17</f>
        <v>160880.98891340542</v>
      </c>
      <c r="I17" s="127">
        <f t="shared" ref="I17:I20" si="6">SUM(C17:H17)</f>
        <v>4645024.1844762322</v>
      </c>
      <c r="K17" s="2" t="s">
        <v>39</v>
      </c>
      <c r="L17" s="127">
        <f>L$20*'INPUT | FCAST | TASKS'!L17</f>
        <v>2359992.7258805512</v>
      </c>
      <c r="M17" s="123">
        <f>M$20*'INPUT | FCAST | TASKS'!M17</f>
        <v>1223790.9202802912</v>
      </c>
      <c r="N17" s="123">
        <f>N$20*'INPUT | FCAST | TASKS'!N17</f>
        <v>559327.59419589059</v>
      </c>
      <c r="O17" s="123">
        <f>O$20*'INPUT | FCAST | TASKS'!O17</f>
        <v>191753.26650583855</v>
      </c>
      <c r="P17" s="123">
        <f>P$20*'INPUT | FCAST | TASKS'!P17</f>
        <v>149278.68870025486</v>
      </c>
      <c r="Q17" s="123">
        <f>Q$20*'INPUT | FCAST | TASKS'!Q17</f>
        <v>160880.98891340542</v>
      </c>
      <c r="R17" s="127">
        <f t="shared" ref="R17:R20" si="7">SUM(L17:Q17)</f>
        <v>4645024.1844762322</v>
      </c>
    </row>
    <row r="18" spans="2:18" x14ac:dyDescent="0.25">
      <c r="B18" s="2" t="s">
        <v>40</v>
      </c>
      <c r="C18" s="127">
        <f>C$20*'INPUT | FCAST | TASKS'!C18</f>
        <v>2944948.1878509442</v>
      </c>
      <c r="D18" s="123">
        <f>D$20*'INPUT | FCAST | TASKS'!D18</f>
        <v>1119030.6080383984</v>
      </c>
      <c r="E18" s="123">
        <f>E$20*'INPUT | FCAST | TASKS'!E18</f>
        <v>303634.97970634064</v>
      </c>
      <c r="F18" s="123">
        <f>F$20*'INPUT | FCAST | TASKS'!F18</f>
        <v>105095.54029646922</v>
      </c>
      <c r="G18" s="123">
        <f>G$20*'INPUT | FCAST | TASKS'!G18</f>
        <v>79786.885339791392</v>
      </c>
      <c r="H18" s="123">
        <f>H$20*'INPUT | FCAST | TASKS'!H18</f>
        <v>80440.494456702712</v>
      </c>
      <c r="I18" s="127">
        <f t="shared" si="6"/>
        <v>4632936.6956886463</v>
      </c>
      <c r="K18" s="2" t="s">
        <v>40</v>
      </c>
      <c r="L18" s="127">
        <f>L$20*'INPUT | FCAST | TASKS'!L18</f>
        <v>2944948.1878509442</v>
      </c>
      <c r="M18" s="123">
        <f>M$20*'INPUT | FCAST | TASKS'!M18</f>
        <v>1119030.6080383984</v>
      </c>
      <c r="N18" s="123">
        <f>N$20*'INPUT | FCAST | TASKS'!N18</f>
        <v>303634.97970634064</v>
      </c>
      <c r="O18" s="123">
        <f>O$20*'INPUT | FCAST | TASKS'!O18</f>
        <v>105095.54029646922</v>
      </c>
      <c r="P18" s="123">
        <f>P$20*'INPUT | FCAST | TASKS'!P18</f>
        <v>79786.885339791392</v>
      </c>
      <c r="Q18" s="123">
        <f>Q$20*'INPUT | FCAST | TASKS'!Q18</f>
        <v>80440.494456702712</v>
      </c>
      <c r="R18" s="127">
        <f t="shared" si="7"/>
        <v>4632936.6956886463</v>
      </c>
    </row>
    <row r="19" spans="2:18" x14ac:dyDescent="0.25">
      <c r="B19" s="2" t="s">
        <v>42</v>
      </c>
      <c r="C19" s="127">
        <f>C$20*'INPUT | FCAST | TASKS'!C19</f>
        <v>643451.00816743227</v>
      </c>
      <c r="D19" s="123">
        <f>D$20*'INPUT | FCAST | TASKS'!D19</f>
        <v>761893.1799410372</v>
      </c>
      <c r="E19" s="123">
        <f>E$20*'INPUT | FCAST | TASKS'!E19</f>
        <v>319615.7681119375</v>
      </c>
      <c r="F19" s="123">
        <f>F$20*'INPUT | FCAST | TASKS'!F19</f>
        <v>160408.98255776879</v>
      </c>
      <c r="G19" s="123">
        <f>G$20*'INPUT | FCAST | TASKS'!G19</f>
        <v>84934.426329455338</v>
      </c>
      <c r="H19" s="123">
        <f>H$20*'INPUT | FCAST | TASKS'!H19</f>
        <v>71502.661739291303</v>
      </c>
      <c r="I19" s="127">
        <f t="shared" si="6"/>
        <v>2041806.0268469222</v>
      </c>
      <c r="K19" s="2" t="s">
        <v>42</v>
      </c>
      <c r="L19" s="127">
        <f>L$20*'INPUT | FCAST | TASKS'!L19</f>
        <v>643451.00816743227</v>
      </c>
      <c r="M19" s="123">
        <f>M$20*'INPUT | FCAST | TASKS'!M19</f>
        <v>761893.1799410372</v>
      </c>
      <c r="N19" s="123">
        <f>N$20*'INPUT | FCAST | TASKS'!N19</f>
        <v>319615.7681119375</v>
      </c>
      <c r="O19" s="123">
        <f>O$20*'INPUT | FCAST | TASKS'!O19</f>
        <v>160408.98255776879</v>
      </c>
      <c r="P19" s="123">
        <f>P$20*'INPUT | FCAST | TASKS'!P19</f>
        <v>84934.426329455338</v>
      </c>
      <c r="Q19" s="123">
        <f>Q$20*'INPUT | FCAST | TASKS'!Q19</f>
        <v>71502.661739291303</v>
      </c>
      <c r="R19" s="127">
        <f t="shared" si="7"/>
        <v>2041806.0268469222</v>
      </c>
    </row>
    <row r="20" spans="2:18" x14ac:dyDescent="0.25">
      <c r="B20" s="92" t="s">
        <v>30</v>
      </c>
      <c r="C20" s="125">
        <f>C$30</f>
        <v>11854425</v>
      </c>
      <c r="D20" s="126">
        <f t="shared" ref="D20:H20" si="8">D$30</f>
        <v>5009447.6581123201</v>
      </c>
      <c r="E20" s="126">
        <f t="shared" si="8"/>
        <v>1768950.3473579925</v>
      </c>
      <c r="F20" s="126">
        <f t="shared" si="8"/>
        <v>689574.24685753486</v>
      </c>
      <c r="G20" s="126">
        <f t="shared" si="8"/>
        <v>409229.50867828488</v>
      </c>
      <c r="H20" s="126">
        <f t="shared" si="8"/>
        <v>429015.97043574788</v>
      </c>
      <c r="I20" s="125">
        <f t="shared" si="6"/>
        <v>20160642.731441878</v>
      </c>
      <c r="K20" s="92" t="s">
        <v>30</v>
      </c>
      <c r="L20" s="125">
        <f>C$31</f>
        <v>11854425</v>
      </c>
      <c r="M20" s="126">
        <f t="shared" ref="M20:Q20" si="9">D$31</f>
        <v>5009447.6581123201</v>
      </c>
      <c r="N20" s="126">
        <f t="shared" si="9"/>
        <v>1768950.3473579925</v>
      </c>
      <c r="O20" s="126">
        <f t="shared" si="9"/>
        <v>689574.24685753486</v>
      </c>
      <c r="P20" s="126">
        <f t="shared" si="9"/>
        <v>409229.50867828488</v>
      </c>
      <c r="Q20" s="126">
        <f t="shared" si="9"/>
        <v>429015.97043574788</v>
      </c>
      <c r="R20" s="125">
        <f t="shared" si="7"/>
        <v>20160642.731441878</v>
      </c>
    </row>
    <row r="21" spans="2:18" x14ac:dyDescent="0.25">
      <c r="B21" s="1"/>
      <c r="C21" s="105"/>
      <c r="D21" s="105"/>
      <c r="E21" s="105"/>
      <c r="F21" s="105"/>
      <c r="G21" s="105"/>
      <c r="H21" s="105"/>
      <c r="I21" s="105"/>
      <c r="K21" s="1"/>
      <c r="L21" s="105"/>
      <c r="M21" s="105"/>
      <c r="N21" s="105"/>
      <c r="O21" s="105"/>
      <c r="P21" s="105"/>
      <c r="Q21" s="105"/>
      <c r="R21" s="105"/>
    </row>
    <row r="22" spans="2:18" x14ac:dyDescent="0.25">
      <c r="B22" s="1"/>
      <c r="C22" s="105"/>
      <c r="D22" s="105"/>
      <c r="E22" s="105"/>
      <c r="F22" s="105"/>
      <c r="G22" s="105"/>
      <c r="H22" s="105"/>
      <c r="I22" s="105"/>
      <c r="K22" s="1"/>
      <c r="L22" s="105"/>
      <c r="M22" s="105"/>
      <c r="N22" s="105"/>
      <c r="O22" s="105"/>
      <c r="P22" s="105"/>
      <c r="Q22" s="105"/>
      <c r="R22" s="105"/>
    </row>
    <row r="24" spans="2:18" x14ac:dyDescent="0.25">
      <c r="B24" s="190" t="s">
        <v>54</v>
      </c>
      <c r="C24" s="190"/>
      <c r="D24" s="190"/>
      <c r="E24" s="190"/>
      <c r="F24" s="190"/>
      <c r="G24" s="190"/>
      <c r="H24" s="190"/>
      <c r="K24" s="190" t="s">
        <v>55</v>
      </c>
      <c r="L24" s="190"/>
      <c r="M24" s="190"/>
      <c r="N24" s="190"/>
      <c r="O24" s="190"/>
      <c r="P24" s="190"/>
      <c r="Q24" s="190"/>
    </row>
    <row r="26" spans="2:18" x14ac:dyDescent="0.25">
      <c r="C26" s="191" t="s">
        <v>56</v>
      </c>
      <c r="D26" s="190"/>
      <c r="E26" s="190"/>
      <c r="F26" s="190"/>
      <c r="G26" s="190"/>
      <c r="H26" s="190"/>
      <c r="L26" s="201" t="s">
        <v>56</v>
      </c>
      <c r="M26" s="190"/>
      <c r="N26" s="190"/>
      <c r="O26" s="190"/>
      <c r="P26" s="190"/>
      <c r="Q26" s="202"/>
    </row>
    <row r="27" spans="2:18" x14ac:dyDescent="0.25">
      <c r="B27" s="82" t="s">
        <v>50</v>
      </c>
      <c r="C27" s="79" t="s">
        <v>45</v>
      </c>
      <c r="D27" s="80" t="s">
        <v>21</v>
      </c>
      <c r="E27" s="80" t="s">
        <v>22</v>
      </c>
      <c r="F27" s="80" t="s">
        <v>23</v>
      </c>
      <c r="G27" s="80" t="s">
        <v>24</v>
      </c>
      <c r="H27" s="81" t="s">
        <v>25</v>
      </c>
      <c r="K27" s="82" t="s">
        <v>50</v>
      </c>
      <c r="L27" s="79" t="s">
        <v>45</v>
      </c>
      <c r="M27" s="80" t="s">
        <v>21</v>
      </c>
      <c r="N27" s="80" t="s">
        <v>22</v>
      </c>
      <c r="O27" s="80" t="s">
        <v>23</v>
      </c>
      <c r="P27" s="80" t="s">
        <v>24</v>
      </c>
      <c r="Q27" s="80" t="s">
        <v>25</v>
      </c>
      <c r="R27" s="206" t="s">
        <v>30</v>
      </c>
    </row>
    <row r="28" spans="2:18" x14ac:dyDescent="0.25">
      <c r="B28" s="12" t="s">
        <v>16</v>
      </c>
      <c r="C28" s="119">
        <f>L$32*'INPUT | FCAST | TASKS'!C28</f>
        <v>11854425</v>
      </c>
      <c r="D28" s="122">
        <f>M$32*'INPUT | FCAST | TASKS'!D28</f>
        <v>5009447.6581123201</v>
      </c>
      <c r="E28" s="122">
        <f>N$32*'INPUT | FCAST | TASKS'!E28</f>
        <v>1768950.3473579925</v>
      </c>
      <c r="F28" s="122">
        <f>O$32*'INPUT | FCAST | TASKS'!F28</f>
        <v>689574.24685753486</v>
      </c>
      <c r="G28" s="122">
        <f>P$32*'INPUT | FCAST | TASKS'!G28</f>
        <v>409229.50867828488</v>
      </c>
      <c r="H28" s="122">
        <f>Q$32*'INPUT | FCAST | TASKS'!H28</f>
        <v>429015.97043574788</v>
      </c>
      <c r="K28" s="2" t="s">
        <v>51</v>
      </c>
      <c r="L28" s="72">
        <f>'INPUT | FCAST | TASKS'!L28</f>
        <v>44</v>
      </c>
      <c r="M28" s="73">
        <f>'INPUT | FCAST | TASKS'!M28</f>
        <v>44</v>
      </c>
      <c r="N28" s="73">
        <f>'INPUT | FCAST | TASKS'!N28</f>
        <v>44</v>
      </c>
      <c r="O28" s="73">
        <f>'INPUT | FCAST | TASKS'!O28</f>
        <v>44</v>
      </c>
      <c r="P28" s="73">
        <f>'INPUT | FCAST | TASKS'!P28</f>
        <v>44</v>
      </c>
      <c r="Q28" s="73">
        <f>'INPUT | FCAST | TASKS'!Q28</f>
        <v>44</v>
      </c>
      <c r="R28" s="11"/>
    </row>
    <row r="29" spans="2:18" x14ac:dyDescent="0.25">
      <c r="B29" s="17" t="s">
        <v>17</v>
      </c>
      <c r="C29" s="120">
        <f>L$32*'INPUT | FCAST | TASKS'!C29</f>
        <v>11854425</v>
      </c>
      <c r="D29" s="123">
        <f>M$32*'INPUT | FCAST | TASKS'!D29</f>
        <v>5009447.6581123201</v>
      </c>
      <c r="E29" s="123">
        <f>N$32*'INPUT | FCAST | TASKS'!E29</f>
        <v>1768950.3473579925</v>
      </c>
      <c r="F29" s="123">
        <f>O$32*'INPUT | FCAST | TASKS'!F29</f>
        <v>689574.24685753486</v>
      </c>
      <c r="G29" s="123">
        <f>P$32*'INPUT | FCAST | TASKS'!G29</f>
        <v>409229.50867828488</v>
      </c>
      <c r="H29" s="123">
        <f>Q$32*'INPUT | FCAST | TASKS'!H29</f>
        <v>429015.97043574788</v>
      </c>
      <c r="K29" s="2" t="s">
        <v>52</v>
      </c>
      <c r="L29" s="74">
        <f>'INPUT | FCAST | TASKS'!L29</f>
        <v>37.5</v>
      </c>
      <c r="M29" s="75">
        <f>'INPUT | FCAST | TASKS'!M29</f>
        <v>37.5</v>
      </c>
      <c r="N29" s="75">
        <f>'INPUT | FCAST | TASKS'!N29</f>
        <v>37.5</v>
      </c>
      <c r="O29" s="75">
        <f>'INPUT | FCAST | TASKS'!O29</f>
        <v>37.5</v>
      </c>
      <c r="P29" s="75">
        <f>'INPUT | FCAST | TASKS'!P29</f>
        <v>37.5</v>
      </c>
      <c r="Q29" s="75">
        <f>'INPUT | FCAST | TASKS'!Q29</f>
        <v>37.5</v>
      </c>
      <c r="R29" s="11"/>
    </row>
    <row r="30" spans="2:18" x14ac:dyDescent="0.25">
      <c r="B30" s="18" t="s">
        <v>18</v>
      </c>
      <c r="C30" s="120">
        <f>L$32*'INPUT | FCAST | TASKS'!C30</f>
        <v>11854425</v>
      </c>
      <c r="D30" s="123">
        <f>M$32*'INPUT | FCAST | TASKS'!D30</f>
        <v>5009447.6581123201</v>
      </c>
      <c r="E30" s="123">
        <f>N$32*'INPUT | FCAST | TASKS'!E30</f>
        <v>1768950.3473579925</v>
      </c>
      <c r="F30" s="123">
        <f>O$32*'INPUT | FCAST | TASKS'!F30</f>
        <v>689574.24685753486</v>
      </c>
      <c r="G30" s="123">
        <f>P$32*'INPUT | FCAST | TASKS'!G30</f>
        <v>409229.50867828488</v>
      </c>
      <c r="H30" s="123">
        <f>Q$32*'INPUT | FCAST | TASKS'!H30</f>
        <v>429015.97043574788</v>
      </c>
      <c r="K30" s="207" t="s">
        <v>57</v>
      </c>
      <c r="L30" s="208">
        <f>L28*L29</f>
        <v>1650</v>
      </c>
      <c r="M30" s="209">
        <f t="shared" ref="M30:R30" si="10">M28*M29</f>
        <v>1650</v>
      </c>
      <c r="N30" s="209">
        <f t="shared" si="10"/>
        <v>1650</v>
      </c>
      <c r="O30" s="209">
        <f t="shared" si="10"/>
        <v>1650</v>
      </c>
      <c r="P30" s="209">
        <f t="shared" si="10"/>
        <v>1650</v>
      </c>
      <c r="Q30" s="209">
        <f t="shared" si="10"/>
        <v>1650</v>
      </c>
      <c r="R30" s="11"/>
    </row>
    <row r="31" spans="2:18" x14ac:dyDescent="0.25">
      <c r="B31" s="19" t="s">
        <v>19</v>
      </c>
      <c r="C31" s="121">
        <f>L$32*'INPUT | FCAST | TASKS'!C31</f>
        <v>11854425</v>
      </c>
      <c r="D31" s="124">
        <f>M$32*'INPUT | FCAST | TASKS'!D31</f>
        <v>5009447.6581123201</v>
      </c>
      <c r="E31" s="124">
        <f>N$32*'INPUT | FCAST | TASKS'!E31</f>
        <v>1768950.3473579925</v>
      </c>
      <c r="F31" s="124">
        <f>O$32*'INPUT | FCAST | TASKS'!F31</f>
        <v>689574.24685753486</v>
      </c>
      <c r="G31" s="124">
        <f>P$32*'INPUT | FCAST | TASKS'!G31</f>
        <v>409229.50867828488</v>
      </c>
      <c r="H31" s="124">
        <f>Q$32*'INPUT | FCAST | TASKS'!H31</f>
        <v>429015.97043574788</v>
      </c>
      <c r="K31" s="210" t="s">
        <v>1</v>
      </c>
      <c r="L31" s="211">
        <f>SUMIF('INPUT | WORKFORCE'!$D:$D,'CALC | FCAST | HOURS'!L$27,'INPUT | WORKFORCE'!$E:$E)</f>
        <v>28738</v>
      </c>
      <c r="M31" s="212">
        <f>SUMIF('INPUT | WORKFORCE'!$D:$D,'CALC | FCAST | HOURS'!M$27,'INPUT | WORKFORCE'!$E:$E)</f>
        <v>12144.115534817745</v>
      </c>
      <c r="N31" s="212">
        <f>SUMIF('INPUT | WORKFORCE'!$D:$D,'CALC | FCAST | HOURS'!N$27,'INPUT | WORKFORCE'!$E:$E)</f>
        <v>4288.3644784436183</v>
      </c>
      <c r="O31" s="212">
        <f>SUMIF('INPUT | WORKFORCE'!$D:$D,'CALC | FCAST | HOURS'!O$27,'INPUT | WORKFORCE'!$E:$E)</f>
        <v>1671.6951438970541</v>
      </c>
      <c r="P31" s="212">
        <f>SUMIF('INPUT | WORKFORCE'!$D:$D,'CALC | FCAST | HOURS'!P$27,'INPUT | WORKFORCE'!$E:$E)</f>
        <v>992.07153618978157</v>
      </c>
      <c r="Q31" s="212">
        <f>SUMIF('INPUT | WORKFORCE'!$D:$D,'CALC | FCAST | HOURS'!Q$27,'INPUT | WORKFORCE'!$E:$E)</f>
        <v>1040.0387162078737</v>
      </c>
      <c r="R31" s="211">
        <f>SUM(L31:Q31)</f>
        <v>48874.285409556076</v>
      </c>
    </row>
    <row r="32" spans="2:18" x14ac:dyDescent="0.25">
      <c r="B32" s="69" t="s">
        <v>30</v>
      </c>
      <c r="C32" s="117">
        <f>SUM(C28:C31)</f>
        <v>47417700</v>
      </c>
      <c r="D32" s="118">
        <f t="shared" ref="D32:H32" si="11">SUM(D28:D31)</f>
        <v>20037790.63244928</v>
      </c>
      <c r="E32" s="118">
        <f t="shared" si="11"/>
        <v>7075801.3894319702</v>
      </c>
      <c r="F32" s="118">
        <f t="shared" si="11"/>
        <v>2758296.9874301394</v>
      </c>
      <c r="G32" s="118">
        <f t="shared" si="11"/>
        <v>1636918.0347131395</v>
      </c>
      <c r="H32" s="118">
        <f t="shared" si="11"/>
        <v>1716063.8817429915</v>
      </c>
      <c r="K32" s="69" t="s">
        <v>30</v>
      </c>
      <c r="L32" s="117">
        <f>L30*L31</f>
        <v>47417700</v>
      </c>
      <c r="M32" s="118">
        <f t="shared" ref="M32:Q32" si="12">M30*M31</f>
        <v>20037790.63244928</v>
      </c>
      <c r="N32" s="118">
        <f t="shared" si="12"/>
        <v>7075801.3894319702</v>
      </c>
      <c r="O32" s="118">
        <f t="shared" si="12"/>
        <v>2758296.9874301394</v>
      </c>
      <c r="P32" s="118">
        <f t="shared" si="12"/>
        <v>1636918.0347131395</v>
      </c>
      <c r="Q32" s="118">
        <f t="shared" si="12"/>
        <v>1716063.8817429915</v>
      </c>
      <c r="R32" s="117">
        <f>SUM(L32:Q32)</f>
        <v>80642570.925767511</v>
      </c>
    </row>
  </sheetData>
  <mergeCells count="14">
    <mergeCell ref="B2:I2"/>
    <mergeCell ref="K2:R2"/>
    <mergeCell ref="T2:AA2"/>
    <mergeCell ref="C4:I4"/>
    <mergeCell ref="L4:R4"/>
    <mergeCell ref="U4:AA4"/>
    <mergeCell ref="C26:H26"/>
    <mergeCell ref="L26:Q26"/>
    <mergeCell ref="B12:I12"/>
    <mergeCell ref="K12:R12"/>
    <mergeCell ref="C14:I14"/>
    <mergeCell ref="L14:R14"/>
    <mergeCell ref="B24:H24"/>
    <mergeCell ref="K24:Q24"/>
  </mergeCell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8EE7E9-536A-46E0-A47D-F44000D16A05}">
  <sheetPr>
    <tabColor rgb="FF293894"/>
  </sheetPr>
  <dimension ref="B2:R20"/>
  <sheetViews>
    <sheetView workbookViewId="0">
      <selection activeCell="F6" sqref="F6"/>
    </sheetView>
  </sheetViews>
  <sheetFormatPr defaultRowHeight="15" x14ac:dyDescent="0.25"/>
  <cols>
    <col min="1" max="1" width="2.7109375" style="2" customWidth="1"/>
    <col min="2" max="2" width="39.42578125" style="2" bestFit="1" customWidth="1"/>
    <col min="3" max="9" width="9.140625" style="2"/>
    <col min="10" max="10" width="2.7109375" style="2" customWidth="1"/>
    <col min="11" max="11" width="39.42578125" style="2" bestFit="1" customWidth="1"/>
    <col min="12" max="18" width="9.140625" style="2"/>
    <col min="19" max="19" width="2.7109375" style="2" customWidth="1"/>
    <col min="20" max="16384" width="9.140625" style="2"/>
  </cols>
  <sheetData>
    <row r="2" spans="2:18" x14ac:dyDescent="0.25">
      <c r="B2" s="195" t="s">
        <v>46</v>
      </c>
      <c r="C2" s="195"/>
      <c r="D2" s="195"/>
      <c r="E2" s="195"/>
      <c r="F2" s="195"/>
      <c r="G2" s="195"/>
      <c r="H2" s="195"/>
      <c r="I2" s="195"/>
      <c r="K2" s="196" t="s">
        <v>47</v>
      </c>
      <c r="L2" s="196"/>
      <c r="M2" s="196"/>
      <c r="N2" s="196"/>
      <c r="O2" s="196"/>
      <c r="P2" s="196"/>
      <c r="Q2" s="196"/>
      <c r="R2" s="196"/>
    </row>
    <row r="4" spans="2:18" x14ac:dyDescent="0.25">
      <c r="C4" s="198" t="s">
        <v>56</v>
      </c>
      <c r="D4" s="195"/>
      <c r="E4" s="195"/>
      <c r="F4" s="195"/>
      <c r="G4" s="195"/>
      <c r="H4" s="195"/>
      <c r="I4" s="195"/>
      <c r="L4" s="199" t="s">
        <v>56</v>
      </c>
      <c r="M4" s="196"/>
      <c r="N4" s="196"/>
      <c r="O4" s="196"/>
      <c r="P4" s="196"/>
      <c r="Q4" s="196"/>
      <c r="R4" s="196"/>
    </row>
    <row r="5" spans="2:18" x14ac:dyDescent="0.25">
      <c r="B5" s="83" t="s">
        <v>29</v>
      </c>
      <c r="C5" s="85" t="s">
        <v>45</v>
      </c>
      <c r="D5" s="84" t="s">
        <v>21</v>
      </c>
      <c r="E5" s="84" t="s">
        <v>22</v>
      </c>
      <c r="F5" s="84" t="s">
        <v>23</v>
      </c>
      <c r="G5" s="84" t="s">
        <v>24</v>
      </c>
      <c r="H5" s="84" t="s">
        <v>25</v>
      </c>
      <c r="I5" s="87" t="s">
        <v>30</v>
      </c>
      <c r="K5" s="89" t="s">
        <v>29</v>
      </c>
      <c r="L5" s="90" t="s">
        <v>45</v>
      </c>
      <c r="M5" s="91" t="s">
        <v>21</v>
      </c>
      <c r="N5" s="91" t="s">
        <v>22</v>
      </c>
      <c r="O5" s="91" t="s">
        <v>23</v>
      </c>
      <c r="P5" s="91" t="s">
        <v>24</v>
      </c>
      <c r="Q5" s="91" t="s">
        <v>25</v>
      </c>
      <c r="R5" s="95" t="s">
        <v>30</v>
      </c>
    </row>
    <row r="6" spans="2:18" x14ac:dyDescent="0.25">
      <c r="B6" s="104" t="s">
        <v>41</v>
      </c>
      <c r="C6" s="133">
        <f>'CALC | BLINE | HOURS'!C6/'INPUT | SEGMENTATION'!$E$8</f>
        <v>17.299401812241534</v>
      </c>
      <c r="D6" s="134">
        <f>'CALC | BLINE | HOURS'!D6/'INPUT | SEGMENTATION'!$E$8</f>
        <v>5.5791662878919306</v>
      </c>
      <c r="E6" s="134">
        <f>'CALC | BLINE | HOURS'!E6/'INPUT | SEGMENTATION'!$E$8</f>
        <v>1.7175462442811351</v>
      </c>
      <c r="F6" s="134">
        <f>'CALC | BLINE | HOURS'!F6/'INPUT | SEGMENTATION'!$E$8</f>
        <v>0.68047972178598848</v>
      </c>
      <c r="G6" s="134">
        <f>'CALC | BLINE | HOURS'!G6/'INPUT | SEGMENTATION'!$E$8</f>
        <v>0.27893740296244968</v>
      </c>
      <c r="H6" s="134">
        <f>'CALC | BLINE | HOURS'!H6/'INPUT | SEGMENTATION'!$E$8</f>
        <v>0.34033826885787793</v>
      </c>
      <c r="I6" s="137">
        <f>'CALC | BLINE | HOURS'!I6/'INPUT | SEGMENTATION'!$E$8</f>
        <v>25.89586973802092</v>
      </c>
      <c r="K6" s="104" t="s">
        <v>41</v>
      </c>
      <c r="L6" s="133">
        <f>'CALC | BLINE | HOURS'!L6/'INPUT | SEGMENTATION'!$E$9</f>
        <v>25.753874737714312</v>
      </c>
      <c r="M6" s="134">
        <f>'CALC | BLINE | HOURS'!M6/'INPUT | SEGMENTATION'!$E$9</f>
        <v>8.3057871756913428</v>
      </c>
      <c r="N6" s="134">
        <f>'CALC | BLINE | HOURS'!N6/'INPUT | SEGMENTATION'!$E$9</f>
        <v>2.5569364369666929</v>
      </c>
      <c r="O6" s="134">
        <f>'CALC | BLINE | HOURS'!O6/'INPUT | SEGMENTATION'!$E$9</f>
        <v>1.013040202582604</v>
      </c>
      <c r="P6" s="134">
        <f>'CALC | BLINE | HOURS'!P6/'INPUT | SEGMENTATION'!$E$9</f>
        <v>0.41525822762697329</v>
      </c>
      <c r="Q6" s="134">
        <f>'CALC | BLINE | HOURS'!Q6/'INPUT | SEGMENTATION'!$E$9</f>
        <v>0.50666660268067454</v>
      </c>
      <c r="R6" s="143">
        <f>'CALC | BLINE | HOURS'!R6/'INPUT | SEGMENTATION'!$E$9</f>
        <v>38.551563383262604</v>
      </c>
    </row>
    <row r="7" spans="2:18" x14ac:dyDescent="0.25">
      <c r="B7" s="2" t="s">
        <v>39</v>
      </c>
      <c r="C7" s="133">
        <f>'CALC | BLINE | HOURS'!C7/'INPUT | SEGMENTATION'!$E$8</f>
        <v>6.9126708061211044</v>
      </c>
      <c r="D7" s="134">
        <f>'CALC | BLINE | HOURS'!D7/'INPUT | SEGMENTATION'!$E$8</f>
        <v>3.5846143399705661</v>
      </c>
      <c r="E7" s="134">
        <f>'CALC | BLINE | HOURS'!E7/'INPUT | SEGMENTATION'!$E$8</f>
        <v>1.6383302749432209</v>
      </c>
      <c r="F7" s="134">
        <f>'CALC | BLINE | HOURS'!F7/'INPUT | SEGMENTATION'!$E$8</f>
        <v>0.5616658021090698</v>
      </c>
      <c r="G7" s="134">
        <f>'CALC | BLINE | HOURS'!G7/'INPUT | SEGMENTATION'!$E$8</f>
        <v>0.43725322626546159</v>
      </c>
      <c r="H7" s="134">
        <f>'CALC | BLINE | HOURS'!H7/'INPUT | SEGMENTATION'!$E$8</f>
        <v>0.47123760303398476</v>
      </c>
      <c r="I7" s="137">
        <f>'CALC | BLINE | HOURS'!I7/'INPUT | SEGMENTATION'!$E$8</f>
        <v>13.605772052443408</v>
      </c>
      <c r="K7" s="2" t="s">
        <v>39</v>
      </c>
      <c r="L7" s="133">
        <f>'CALC | BLINE | HOURS'!L7/'INPUT | SEGMENTATION'!$E$9</f>
        <v>10.29099502838994</v>
      </c>
      <c r="M7" s="134">
        <f>'CALC | BLINE | HOURS'!M7/'INPUT | SEGMENTATION'!$E$9</f>
        <v>5.3364682603816895</v>
      </c>
      <c r="N7" s="134">
        <f>'CALC | BLINE | HOURS'!N7/'INPUT | SEGMENTATION'!$E$9</f>
        <v>2.4390064545489416</v>
      </c>
      <c r="O7" s="134">
        <f>'CALC | BLINE | HOURS'!O7/'INPUT | SEGMENTATION'!$E$9</f>
        <v>0.83616016721103825</v>
      </c>
      <c r="P7" s="134">
        <f>'CALC | BLINE | HOURS'!P7/'INPUT | SEGMENTATION'!$E$9</f>
        <v>0.65094532979363373</v>
      </c>
      <c r="Q7" s="134">
        <f>'CALC | BLINE | HOURS'!Q7/'INPUT | SEGMENTATION'!$E$9</f>
        <v>0.70153837294247234</v>
      </c>
      <c r="R7" s="143">
        <f>'CALC | BLINE | HOURS'!R7/'INPUT | SEGMENTATION'!$E$9</f>
        <v>20.255113613267717</v>
      </c>
    </row>
    <row r="8" spans="2:18" x14ac:dyDescent="0.25">
      <c r="B8" s="2" t="s">
        <v>40</v>
      </c>
      <c r="C8" s="133">
        <f>'CALC | BLINE | HOURS'!C8/'INPUT | SEGMENTATION'!$E$8</f>
        <v>8.6260678435357381</v>
      </c>
      <c r="D8" s="134">
        <f>'CALC | BLINE | HOURS'!D8/'INPUT | SEGMENTATION'!$E$8</f>
        <v>3.2777601941365093</v>
      </c>
      <c r="E8" s="134">
        <f>'CALC | BLINE | HOURS'!E8/'INPUT | SEGMENTATION'!$E$8</f>
        <v>0.88937929211203437</v>
      </c>
      <c r="F8" s="134">
        <f>'CALC | BLINE | HOURS'!F8/'INPUT | SEGMENTATION'!$E$8</f>
        <v>0.30783606461747098</v>
      </c>
      <c r="G8" s="134">
        <f>'CALC | BLINE | HOURS'!G8/'INPUT | SEGMENTATION'!$E$8</f>
        <v>0.23370431059016053</v>
      </c>
      <c r="H8" s="134">
        <f>'CALC | BLINE | HOURS'!H8/'INPUT | SEGMENTATION'!$E$8</f>
        <v>0.23561880151699238</v>
      </c>
      <c r="I8" s="137">
        <f>'CALC | BLINE | HOURS'!I8/'INPUT | SEGMENTATION'!$E$8</f>
        <v>13.570366506508904</v>
      </c>
      <c r="K8" s="2" t="s">
        <v>40</v>
      </c>
      <c r="L8" s="133">
        <f>'CALC | BLINE | HOURS'!L8/'INPUT | SEGMENTATION'!$E$9</f>
        <v>12.841754479871206</v>
      </c>
      <c r="M8" s="134">
        <f>'CALC | BLINE | HOURS'!M8/'INPUT | SEGMENTATION'!$E$9</f>
        <v>4.8796499657186647</v>
      </c>
      <c r="N8" s="134">
        <f>'CALC | BLINE | HOURS'!N8/'INPUT | SEGMENTATION'!$E$9</f>
        <v>1.3240320753265684</v>
      </c>
      <c r="O8" s="134">
        <f>'CALC | BLINE | HOURS'!O8/'INPUT | SEGMENTATION'!$E$9</f>
        <v>0.45828009164451139</v>
      </c>
      <c r="P8" s="134">
        <f>'CALC | BLINE | HOURS'!P8/'INPUT | SEGMENTATION'!$E$9</f>
        <v>0.34791905557935598</v>
      </c>
      <c r="Q8" s="134">
        <f>'CALC | BLINE | HOURS'!Q8/'INPUT | SEGMENTATION'!$E$9</f>
        <v>0.35076918647123617</v>
      </c>
      <c r="R8" s="143">
        <f>'CALC | BLINE | HOURS'!R8/'INPUT | SEGMENTATION'!$E$9</f>
        <v>20.20240485461154</v>
      </c>
    </row>
    <row r="9" spans="2:18" x14ac:dyDescent="0.25">
      <c r="B9" s="2" t="s">
        <v>42</v>
      </c>
      <c r="C9" s="133">
        <f>'CALC | BLINE | HOURS'!C9/'INPUT | SEGMENTATION'!$E$8</f>
        <v>1.8847367411560958</v>
      </c>
      <c r="D9" s="134">
        <f>'CALC | BLINE | HOURS'!D9/'INPUT | SEGMENTATION'!$E$8</f>
        <v>2.2316665151567721</v>
      </c>
      <c r="E9" s="134">
        <f>'CALC | BLINE | HOURS'!E9/'INPUT | SEGMENTATION'!$E$8</f>
        <v>0.93618872853898349</v>
      </c>
      <c r="F9" s="134">
        <f>'CALC | BLINE | HOURS'!F9/'INPUT | SEGMENTATION'!$E$8</f>
        <v>0.46985504599508726</v>
      </c>
      <c r="G9" s="134">
        <f>'CALC | BLINE | HOURS'!G9/'INPUT | SEGMENTATION'!$E$8</f>
        <v>0.24878200804759018</v>
      </c>
      <c r="H9" s="134">
        <f>'CALC | BLINE | HOURS'!H9/'INPUT | SEGMENTATION'!$E$8</f>
        <v>0.20943893468177099</v>
      </c>
      <c r="I9" s="137">
        <f>'CALC | BLINE | HOURS'!I9/'INPUT | SEGMENTATION'!$E$8</f>
        <v>5.9806679735762991</v>
      </c>
      <c r="K9" s="2" t="s">
        <v>42</v>
      </c>
      <c r="L9" s="133">
        <f>'CALC | BLINE | HOURS'!L9/'INPUT | SEGMENTATION'!$E$9</f>
        <v>2.8058353966293934</v>
      </c>
      <c r="M9" s="134">
        <f>'CALC | BLINE | HOURS'!M9/'INPUT | SEGMENTATION'!$E$9</f>
        <v>3.3223148702765375</v>
      </c>
      <c r="N9" s="134">
        <f>'CALC | BLINE | HOURS'!N9/'INPUT | SEGMENTATION'!$E$9</f>
        <v>1.3937179740279668</v>
      </c>
      <c r="O9" s="134">
        <f>'CALC | BLINE | HOURS'!O9/'INPUT | SEGMENTATION'!$E$9</f>
        <v>0.69948013987846469</v>
      </c>
      <c r="P9" s="134">
        <f>'CALC | BLINE | HOURS'!P9/'INPUT | SEGMENTATION'!$E$9</f>
        <v>0.37036544626189505</v>
      </c>
      <c r="Q9" s="134">
        <f>'CALC | BLINE | HOURS'!Q9/'INPUT | SEGMENTATION'!$E$9</f>
        <v>0.31179483241887662</v>
      </c>
      <c r="R9" s="143">
        <f>'CALC | BLINE | HOURS'!R9/'INPUT | SEGMENTATION'!$E$9</f>
        <v>8.9035086594931325</v>
      </c>
    </row>
    <row r="10" spans="2:18" x14ac:dyDescent="0.25">
      <c r="B10" s="138" t="s">
        <v>30</v>
      </c>
      <c r="C10" s="135">
        <f>'CALC | BLINE | HOURS'!C10/'INPUT | SEGMENTATION'!$E$8</f>
        <v>34.722877203054473</v>
      </c>
      <c r="D10" s="136">
        <f>'CALC | BLINE | HOURS'!D10/'INPUT | SEGMENTATION'!$E$8</f>
        <v>14.673207337155779</v>
      </c>
      <c r="E10" s="136">
        <f>'CALC | BLINE | HOURS'!E10/'INPUT | SEGMENTATION'!$E$8</f>
        <v>5.1814445398753737</v>
      </c>
      <c r="F10" s="136">
        <f>'CALC | BLINE | HOURS'!F10/'INPUT | SEGMENTATION'!$E$8</f>
        <v>2.0198366345076169</v>
      </c>
      <c r="G10" s="136">
        <f>'CALC | BLINE | HOURS'!G10/'INPUT | SEGMENTATION'!$E$8</f>
        <v>1.198676947865662</v>
      </c>
      <c r="H10" s="136">
        <f>'CALC | BLINE | HOURS'!H10/'INPUT | SEGMENTATION'!$E$8</f>
        <v>1.2566336080906262</v>
      </c>
      <c r="I10" s="135">
        <f>'CALC | BLINE | HOURS'!I10/'INPUT | SEGMENTATION'!$E$8</f>
        <v>59.052676270549526</v>
      </c>
      <c r="K10" s="145" t="s">
        <v>30</v>
      </c>
      <c r="L10" s="144">
        <f>'CALC | BLINE | HOURS'!L10/'INPUT | SEGMENTATION'!$E$9</f>
        <v>51.692459642604852</v>
      </c>
      <c r="M10" s="146">
        <f>'CALC | BLINE | HOURS'!M10/'INPUT | SEGMENTATION'!$E$9</f>
        <v>21.844220272068235</v>
      </c>
      <c r="N10" s="146">
        <f>'CALC | BLINE | HOURS'!N10/'INPUT | SEGMENTATION'!$E$9</f>
        <v>7.7136929408701693</v>
      </c>
      <c r="O10" s="146">
        <f>'CALC | BLINE | HOURS'!O10/'INPUT | SEGMENTATION'!$E$9</f>
        <v>3.0069606013166186</v>
      </c>
      <c r="P10" s="146">
        <f>'CALC | BLINE | HOURS'!P10/'INPUT | SEGMENTATION'!$E$9</f>
        <v>1.7844880592618582</v>
      </c>
      <c r="Q10" s="146">
        <f>'CALC | BLINE | HOURS'!Q10/'INPUT | SEGMENTATION'!$E$9</f>
        <v>1.87076899451326</v>
      </c>
      <c r="R10" s="144">
        <f>'CALC | BLINE | HOURS'!R10/'INPUT | SEGMENTATION'!$E$9</f>
        <v>87.912590510634985</v>
      </c>
    </row>
    <row r="12" spans="2:18" x14ac:dyDescent="0.25">
      <c r="B12" s="184" t="s">
        <v>48</v>
      </c>
      <c r="C12" s="184"/>
      <c r="D12" s="184"/>
      <c r="E12" s="184"/>
      <c r="F12" s="184"/>
      <c r="G12" s="184"/>
      <c r="H12" s="184"/>
      <c r="I12" s="184"/>
      <c r="K12" s="192" t="s">
        <v>49</v>
      </c>
      <c r="L12" s="192"/>
      <c r="M12" s="192"/>
      <c r="N12" s="192"/>
      <c r="O12" s="192"/>
      <c r="P12" s="192"/>
      <c r="Q12" s="192"/>
      <c r="R12" s="192"/>
    </row>
    <row r="14" spans="2:18" x14ac:dyDescent="0.25">
      <c r="C14" s="193" t="s">
        <v>56</v>
      </c>
      <c r="D14" s="184"/>
      <c r="E14" s="184"/>
      <c r="F14" s="184"/>
      <c r="G14" s="184"/>
      <c r="H14" s="184"/>
      <c r="I14" s="184"/>
      <c r="L14" s="194" t="s">
        <v>56</v>
      </c>
      <c r="M14" s="192"/>
      <c r="N14" s="192"/>
      <c r="O14" s="192"/>
      <c r="P14" s="192"/>
      <c r="Q14" s="192"/>
      <c r="R14" s="192"/>
    </row>
    <row r="15" spans="2:18" x14ac:dyDescent="0.25">
      <c r="B15" s="100" t="s">
        <v>29</v>
      </c>
      <c r="C15" s="101" t="s">
        <v>45</v>
      </c>
      <c r="D15" s="102" t="s">
        <v>21</v>
      </c>
      <c r="E15" s="102" t="s">
        <v>22</v>
      </c>
      <c r="F15" s="102" t="s">
        <v>23</v>
      </c>
      <c r="G15" s="102" t="s">
        <v>24</v>
      </c>
      <c r="H15" s="102" t="s">
        <v>25</v>
      </c>
      <c r="I15" s="103" t="s">
        <v>30</v>
      </c>
      <c r="K15" s="96" t="s">
        <v>29</v>
      </c>
      <c r="L15" s="97" t="s">
        <v>45</v>
      </c>
      <c r="M15" s="98" t="s">
        <v>21</v>
      </c>
      <c r="N15" s="98" t="s">
        <v>22</v>
      </c>
      <c r="O15" s="98" t="s">
        <v>23</v>
      </c>
      <c r="P15" s="98" t="s">
        <v>24</v>
      </c>
      <c r="Q15" s="98" t="s">
        <v>25</v>
      </c>
      <c r="R15" s="99" t="s">
        <v>30</v>
      </c>
    </row>
    <row r="16" spans="2:18" x14ac:dyDescent="0.25">
      <c r="B16" s="104" t="s">
        <v>41</v>
      </c>
      <c r="C16" s="133">
        <f>'CALC | BLINE | HOURS'!C16/'INPUT | SEGMENTATION'!$E$10</f>
        <v>187.73747029788208</v>
      </c>
      <c r="D16" s="134">
        <f>'CALC | BLINE | HOURS'!D16/'INPUT | SEGMENTATION'!$E$10</f>
        <v>60.546519274375953</v>
      </c>
      <c r="E16" s="134">
        <f>'CALC | BLINE | HOURS'!E16/'INPUT | SEGMENTATION'!$E$10</f>
        <v>18.63924490110378</v>
      </c>
      <c r="F16" s="134">
        <f>'CALC | BLINE | HOURS'!F16/'INPUT | SEGMENTATION'!$E$10</f>
        <v>7.3847375154155639</v>
      </c>
      <c r="G16" s="134">
        <f>'CALC | BLINE | HOURS'!G16/'INPUT | SEGMENTATION'!$E$10</f>
        <v>3.0270990275845793</v>
      </c>
      <c r="H16" s="134">
        <f>'CALC | BLINE | HOURS'!H16/'INPUT | SEGMENTATION'!$E$10</f>
        <v>3.6934367057550581</v>
      </c>
      <c r="I16" s="142">
        <f>'CALC | BLINE | HOURS'!I16/'INPUT | SEGMENTATION'!$E$10</f>
        <v>281.02850772211707</v>
      </c>
      <c r="K16" s="104" t="s">
        <v>41</v>
      </c>
      <c r="L16" s="133">
        <f>'CALC | BLINE | HOURS'!L16/'INPUT | SEGMENTATION'!$E$11</f>
        <v>1467.7020571821752</v>
      </c>
      <c r="M16" s="134">
        <f>'CALC | BLINE | HOURS'!M16/'INPUT | SEGMENTATION'!$E$11</f>
        <v>473.34317839279151</v>
      </c>
      <c r="N16" s="134">
        <f>'CALC | BLINE | HOURS'!N16/'INPUT | SEGMENTATION'!$E$11</f>
        <v>145.71868920075144</v>
      </c>
      <c r="O16" s="134">
        <f>'CALC | BLINE | HOURS'!O16/'INPUT | SEGMENTATION'!$E$11</f>
        <v>57.732718065968747</v>
      </c>
      <c r="P16" s="134">
        <f>'CALC | BLINE | HOURS'!P16/'INPUT | SEGMENTATION'!$E$11</f>
        <v>23.665384768584314</v>
      </c>
      <c r="Q16" s="134">
        <f>'CALC | BLINE | HOURS'!Q16/'INPUT | SEGMENTATION'!$E$11</f>
        <v>28.874708083088564</v>
      </c>
      <c r="R16" s="150">
        <f>'CALC | BLINE | HOURS'!R16/'INPUT | SEGMENTATION'!$E$11</f>
        <v>2197.0367356933598</v>
      </c>
    </row>
    <row r="17" spans="2:18" x14ac:dyDescent="0.25">
      <c r="B17" s="2" t="s">
        <v>39</v>
      </c>
      <c r="C17" s="133">
        <f>'CALC | BLINE | HOURS'!C17/'INPUT | SEGMENTATION'!$E$10</f>
        <v>75.018046532965172</v>
      </c>
      <c r="D17" s="134">
        <f>'CALC | BLINE | HOURS'!D17/'INPUT | SEGMENTATION'!$E$10</f>
        <v>38.901138633786552</v>
      </c>
      <c r="E17" s="134">
        <f>'CALC | BLINE | HOURS'!E17/'INPUT | SEGMENTATION'!$E$10</f>
        <v>17.779573228516181</v>
      </c>
      <c r="F17" s="134">
        <f>'CALC | BLINE | HOURS'!F17/'INPUT | SEGMENTATION'!$E$10</f>
        <v>6.0953389016128465</v>
      </c>
      <c r="G17" s="134">
        <f>'CALC | BLINE | HOURS'!G17/'INPUT | SEGMENTATION'!$E$10</f>
        <v>4.7451822594569082</v>
      </c>
      <c r="H17" s="134">
        <f>'CALC | BLINE | HOURS'!H17/'INPUT | SEGMENTATION'!$E$10</f>
        <v>5.1139892848916189</v>
      </c>
      <c r="I17" s="142">
        <f>'CALC | BLINE | HOURS'!I17/'INPUT | SEGMENTATION'!$E$10</f>
        <v>147.65326884122928</v>
      </c>
      <c r="K17" s="2" t="s">
        <v>39</v>
      </c>
      <c r="L17" s="133">
        <f>'CALC | BLINE | HOURS'!L17/'INPUT | SEGMENTATION'!$E$11</f>
        <v>586.47930563631985</v>
      </c>
      <c r="M17" s="134">
        <f>'CALC | BLINE | HOURS'!M17/'INPUT | SEGMENTATION'!$E$11</f>
        <v>304.1229921173686</v>
      </c>
      <c r="N17" s="134">
        <f>'CALC | BLINE | HOURS'!N17/'INPUT | SEGMENTATION'!$E$11</f>
        <v>138.99791108247777</v>
      </c>
      <c r="O17" s="134">
        <f>'CALC | BLINE | HOURS'!O17/'INPUT | SEGMENTATION'!$E$11</f>
        <v>47.652402213180551</v>
      </c>
      <c r="P17" s="134">
        <f>'CALC | BLINE | HOURS'!P17/'INPUT | SEGMENTATION'!$E$11</f>
        <v>37.097089637240273</v>
      </c>
      <c r="Q17" s="134">
        <f>'CALC | BLINE | HOURS'!Q17/'INPUT | SEGMENTATION'!$E$11</f>
        <v>39.980365038122621</v>
      </c>
      <c r="R17" s="150">
        <f>'CALC | BLINE | HOURS'!R17/'INPUT | SEGMENTATION'!$E$11</f>
        <v>1154.3300657247098</v>
      </c>
    </row>
    <row r="18" spans="2:18" x14ac:dyDescent="0.25">
      <c r="B18" s="2" t="s">
        <v>40</v>
      </c>
      <c r="C18" s="133">
        <f>'CALC | BLINE | HOURS'!C18/'INPUT | SEGMENTATION'!$E$10</f>
        <v>93.612263194982177</v>
      </c>
      <c r="D18" s="134">
        <f>'CALC | BLINE | HOURS'!D18/'INPUT | SEGMENTATION'!$E$10</f>
        <v>35.571080073695875</v>
      </c>
      <c r="E18" s="134">
        <f>'CALC | BLINE | HOURS'!E18/'INPUT | SEGMENTATION'!$E$10</f>
        <v>9.651768324051643</v>
      </c>
      <c r="F18" s="134">
        <f>'CALC | BLINE | HOURS'!F18/'INPUT | SEGMENTATION'!$E$10</f>
        <v>3.3407145903070417</v>
      </c>
      <c r="G18" s="134">
        <f>'CALC | BLINE | HOURS'!G18/'INPUT | SEGMENTATION'!$E$10</f>
        <v>2.5362181041924852</v>
      </c>
      <c r="H18" s="134">
        <f>'CALC | BLINE | HOURS'!H18/'INPUT | SEGMENTATION'!$E$10</f>
        <v>2.5569946424458094</v>
      </c>
      <c r="I18" s="142">
        <f>'CALC | BLINE | HOURS'!I18/'INPUT | SEGMENTATION'!$E$10</f>
        <v>147.26903892967502</v>
      </c>
      <c r="K18" s="2" t="s">
        <v>40</v>
      </c>
      <c r="L18" s="133">
        <f>'CALC | BLINE | HOURS'!L18/'INPUT | SEGMENTATION'!$E$11</f>
        <v>731.84597113592054</v>
      </c>
      <c r="M18" s="134">
        <f>'CALC | BLINE | HOURS'!M18/'INPUT | SEGMENTATION'!$E$11</f>
        <v>278.089117305765</v>
      </c>
      <c r="N18" s="134">
        <f>'CALC | BLINE | HOURS'!N18/'INPUT | SEGMENTATION'!$E$11</f>
        <v>75.456008873345084</v>
      </c>
      <c r="O18" s="134">
        <f>'CALC | BLINE | HOURS'!O18/'INPUT | SEGMENTATION'!$E$11</f>
        <v>26.117181982223961</v>
      </c>
      <c r="P18" s="134">
        <f>'CALC | BLINE | HOURS'!P18/'INPUT | SEGMENTATION'!$E$11</f>
        <v>19.82775480611118</v>
      </c>
      <c r="Q18" s="134">
        <f>'CALC | BLINE | HOURS'!Q18/'INPUT | SEGMENTATION'!$E$11</f>
        <v>19.99018251906131</v>
      </c>
      <c r="R18" s="150">
        <f>'CALC | BLINE | HOURS'!R18/'INPUT | SEGMENTATION'!$E$11</f>
        <v>1151.326216622427</v>
      </c>
    </row>
    <row r="19" spans="2:18" x14ac:dyDescent="0.25">
      <c r="B19" s="2" t="s">
        <v>42</v>
      </c>
      <c r="C19" s="133">
        <f>'CALC | BLINE | HOURS'!C19/'INPUT | SEGMENTATION'!$E$10</f>
        <v>20.453638328218705</v>
      </c>
      <c r="D19" s="134">
        <f>'CALC | BLINE | HOURS'!D19/'INPUT | SEGMENTATION'!$E$10</f>
        <v>24.21860770975038</v>
      </c>
      <c r="E19" s="134">
        <f>'CALC | BLINE | HOURS'!E19/'INPUT | SEGMENTATION'!$E$10</f>
        <v>10.159756130580677</v>
      </c>
      <c r="F19" s="134">
        <f>'CALC | BLINE | HOURS'!F19/'INPUT | SEGMENTATION'!$E$10</f>
        <v>5.0989854273107467</v>
      </c>
      <c r="G19" s="134">
        <f>'CALC | BLINE | HOURS'!G19/'INPUT | SEGMENTATION'!$E$10</f>
        <v>2.6998450786565162</v>
      </c>
      <c r="H19" s="134">
        <f>'CALC | BLINE | HOURS'!H19/'INPUT | SEGMENTATION'!$E$10</f>
        <v>2.2728841266184974</v>
      </c>
      <c r="I19" s="142">
        <f>'CALC | BLINE | HOURS'!I19/'INPUT | SEGMENTATION'!$E$10</f>
        <v>64.903716801135516</v>
      </c>
      <c r="K19" s="2" t="s">
        <v>42</v>
      </c>
      <c r="L19" s="133">
        <f>'CALC | BLINE | HOURS'!L19/'INPUT | SEGMENTATION'!$E$11</f>
        <v>159.9033320495607</v>
      </c>
      <c r="M19" s="134">
        <f>'CALC | BLINE | HOURS'!M19/'INPUT | SEGMENTATION'!$E$11</f>
        <v>189.33727135711661</v>
      </c>
      <c r="N19" s="134">
        <f>'CALC | BLINE | HOURS'!N19/'INPUT | SEGMENTATION'!$E$11</f>
        <v>79.427377761415883</v>
      </c>
      <c r="O19" s="134">
        <f>'CALC | BLINE | HOURS'!O19/'INPUT | SEGMENTATION'!$E$11</f>
        <v>39.863067236026041</v>
      </c>
      <c r="P19" s="134">
        <f>'CALC | BLINE | HOURS'!P19/'INPUT | SEGMENTATION'!$E$11</f>
        <v>21.10696479360222</v>
      </c>
      <c r="Q19" s="134">
        <f>'CALC | BLINE | HOURS'!Q19/'INPUT | SEGMENTATION'!$E$11</f>
        <v>17.7690511280545</v>
      </c>
      <c r="R19" s="150">
        <f>'CALC | BLINE | HOURS'!R19/'INPUT | SEGMENTATION'!$E$11</f>
        <v>507.40706432577588</v>
      </c>
    </row>
    <row r="20" spans="2:18" x14ac:dyDescent="0.25">
      <c r="B20" s="139" t="s">
        <v>30</v>
      </c>
      <c r="C20" s="140">
        <f>'CALC | BLINE | HOURS'!C20/'INPUT | SEGMENTATION'!$E$10</f>
        <v>376.82141835404815</v>
      </c>
      <c r="D20" s="141">
        <f>'CALC | BLINE | HOURS'!D20/'INPUT | SEGMENTATION'!$E$10</f>
        <v>159.23734569160877</v>
      </c>
      <c r="E20" s="141">
        <f>'CALC | BLINE | HOURS'!E20/'INPUT | SEGMENTATION'!$E$10</f>
        <v>56.230342584252284</v>
      </c>
      <c r="F20" s="141">
        <f>'CALC | BLINE | HOURS'!F20/'INPUT | SEGMENTATION'!$E$10</f>
        <v>21.919776434646202</v>
      </c>
      <c r="G20" s="141">
        <f>'CALC | BLINE | HOURS'!G20/'INPUT | SEGMENTATION'!$E$10</f>
        <v>13.008344469890488</v>
      </c>
      <c r="H20" s="141">
        <f>'CALC | BLINE | HOURS'!H20/'INPUT | SEGMENTATION'!$E$10</f>
        <v>13.637304759710984</v>
      </c>
      <c r="I20" s="140">
        <f>'CALC | BLINE | HOURS'!I20/'INPUT | SEGMENTATION'!$E$10</f>
        <v>640.8545322941568</v>
      </c>
      <c r="K20" s="147" t="s">
        <v>30</v>
      </c>
      <c r="L20" s="148">
        <f>'CALC | BLINE | HOURS'!L20/'INPUT | SEGMENTATION'!$E$11</f>
        <v>2945.9306660039761</v>
      </c>
      <c r="M20" s="149">
        <f>'CALC | BLINE | HOURS'!M20/'INPUT | SEGMENTATION'!$E$11</f>
        <v>1244.8925591730417</v>
      </c>
      <c r="N20" s="149">
        <f>'CALC | BLINE | HOURS'!N20/'INPUT | SEGMENTATION'!$E$11</f>
        <v>439.59998691799018</v>
      </c>
      <c r="O20" s="149">
        <f>'CALC | BLINE | HOURS'!O20/'INPUT | SEGMENTATION'!$E$11</f>
        <v>171.36536949739931</v>
      </c>
      <c r="P20" s="149">
        <f>'CALC | BLINE | HOURS'!P20/'INPUT | SEGMENTATION'!$E$11</f>
        <v>101.69719400553799</v>
      </c>
      <c r="Q20" s="149">
        <f>'CALC | BLINE | HOURS'!Q20/'INPUT | SEGMENTATION'!$E$11</f>
        <v>106.61430676832701</v>
      </c>
      <c r="R20" s="148">
        <f>'CALC | BLINE | HOURS'!R20/'INPUT | SEGMENTATION'!$E$11</f>
        <v>5010.1000823662716</v>
      </c>
    </row>
  </sheetData>
  <mergeCells count="8">
    <mergeCell ref="C14:I14"/>
    <mergeCell ref="L14:R14"/>
    <mergeCell ref="B2:I2"/>
    <mergeCell ref="K2:R2"/>
    <mergeCell ref="C4:I4"/>
    <mergeCell ref="L4:R4"/>
    <mergeCell ref="B12:I12"/>
    <mergeCell ref="K12:R12"/>
  </mergeCells>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88CC91-F056-4FF1-BA92-78C5284CD7B8}">
  <sheetPr>
    <tabColor rgb="FF293894"/>
  </sheetPr>
  <dimension ref="B2:R20"/>
  <sheetViews>
    <sheetView workbookViewId="0">
      <selection activeCell="D6" sqref="D6"/>
    </sheetView>
  </sheetViews>
  <sheetFormatPr defaultRowHeight="15" x14ac:dyDescent="0.25"/>
  <cols>
    <col min="1" max="1" width="2.7109375" style="2" customWidth="1"/>
    <col min="2" max="2" width="39.42578125" style="2" bestFit="1" customWidth="1"/>
    <col min="3" max="9" width="9.140625" style="2"/>
    <col min="10" max="10" width="2.7109375" style="2" customWidth="1"/>
    <col min="11" max="11" width="39.42578125" style="2" bestFit="1" customWidth="1"/>
    <col min="12" max="18" width="9.140625" style="2"/>
    <col min="19" max="19" width="2.7109375" style="2" customWidth="1"/>
    <col min="20" max="16384" width="9.140625" style="2"/>
  </cols>
  <sheetData>
    <row r="2" spans="2:18" x14ac:dyDescent="0.25">
      <c r="B2" s="195" t="s">
        <v>46</v>
      </c>
      <c r="C2" s="195"/>
      <c r="D2" s="195"/>
      <c r="E2" s="195"/>
      <c r="F2" s="195"/>
      <c r="G2" s="195"/>
      <c r="H2" s="195"/>
      <c r="I2" s="195"/>
      <c r="K2" s="196" t="s">
        <v>47</v>
      </c>
      <c r="L2" s="196"/>
      <c r="M2" s="196"/>
      <c r="N2" s="196"/>
      <c r="O2" s="196"/>
      <c r="P2" s="196"/>
      <c r="Q2" s="196"/>
      <c r="R2" s="196"/>
    </row>
    <row r="4" spans="2:18" x14ac:dyDescent="0.25">
      <c r="C4" s="198" t="s">
        <v>56</v>
      </c>
      <c r="D4" s="195"/>
      <c r="E4" s="195"/>
      <c r="F4" s="195"/>
      <c r="G4" s="195"/>
      <c r="H4" s="195"/>
      <c r="I4" s="195"/>
      <c r="L4" s="199" t="s">
        <v>56</v>
      </c>
      <c r="M4" s="196"/>
      <c r="N4" s="196"/>
      <c r="O4" s="196"/>
      <c r="P4" s="196"/>
      <c r="Q4" s="196"/>
      <c r="R4" s="196"/>
    </row>
    <row r="5" spans="2:18" x14ac:dyDescent="0.25">
      <c r="B5" s="83" t="s">
        <v>29</v>
      </c>
      <c r="C5" s="85" t="s">
        <v>45</v>
      </c>
      <c r="D5" s="84" t="s">
        <v>21</v>
      </c>
      <c r="E5" s="84" t="s">
        <v>22</v>
      </c>
      <c r="F5" s="84" t="s">
        <v>23</v>
      </c>
      <c r="G5" s="84" t="s">
        <v>24</v>
      </c>
      <c r="H5" s="84" t="s">
        <v>25</v>
      </c>
      <c r="I5" s="87" t="s">
        <v>30</v>
      </c>
      <c r="K5" s="89" t="s">
        <v>29</v>
      </c>
      <c r="L5" s="90" t="s">
        <v>45</v>
      </c>
      <c r="M5" s="91" t="s">
        <v>21</v>
      </c>
      <c r="N5" s="91" t="s">
        <v>22</v>
      </c>
      <c r="O5" s="91" t="s">
        <v>23</v>
      </c>
      <c r="P5" s="91" t="s">
        <v>24</v>
      </c>
      <c r="Q5" s="91" t="s">
        <v>25</v>
      </c>
      <c r="R5" s="95" t="s">
        <v>30</v>
      </c>
    </row>
    <row r="6" spans="2:18" x14ac:dyDescent="0.25">
      <c r="B6" s="104" t="s">
        <v>41</v>
      </c>
      <c r="C6" s="133">
        <f>'CALC | FCAST | HOURS'!C6/'INPUT | SEGMENTATION'!$F$8</f>
        <v>16.680787766269955</v>
      </c>
      <c r="D6" s="134">
        <f>'CALC | FCAST | HOURS'!D6/'INPUT | SEGMENTATION'!$F$8</f>
        <v>5.3796593530302408</v>
      </c>
      <c r="E6" s="134">
        <f>'CALC | FCAST | HOURS'!E6/'INPUT | SEGMENTATION'!$F$8</f>
        <v>1.6561280378685761</v>
      </c>
      <c r="F6" s="134">
        <f>'CALC | FCAST | HOURS'!F6/'INPUT | SEGMENTATION'!$F$8</f>
        <v>0.65614626109963292</v>
      </c>
      <c r="G6" s="134">
        <f>'CALC | FCAST | HOURS'!G6/'INPUT | SEGMENTATION'!$F$8</f>
        <v>0.26896280399699285</v>
      </c>
      <c r="H6" s="134">
        <f>'CALC | FCAST | HOURS'!H6/'INPUT | SEGMENTATION'!$F$8</f>
        <v>0.32816801951733982</v>
      </c>
      <c r="I6" s="137">
        <f>'CALC | FCAST | HOURS'!I6/'INPUT | SEGMENTATION'!$F$8</f>
        <v>24.969852241782739</v>
      </c>
      <c r="K6" s="104" t="s">
        <v>41</v>
      </c>
      <c r="L6" s="133">
        <f>'CALC | FCAST | HOURS'!L6/'INPUT | SEGMENTATION'!$F$9</f>
        <v>21.818438354209881</v>
      </c>
      <c r="M6" s="134">
        <f>'CALC | FCAST | HOURS'!M6/'INPUT | SEGMENTATION'!$F$9</f>
        <v>7.036584099348306</v>
      </c>
      <c r="N6" s="134">
        <f>'CALC | FCAST | HOURS'!N6/'INPUT | SEGMENTATION'!$F$9</f>
        <v>2.1662122920825437</v>
      </c>
      <c r="O6" s="134">
        <f>'CALC | FCAST | HOURS'!O6/'INPUT | SEGMENTATION'!$F$9</f>
        <v>0.85823804905042012</v>
      </c>
      <c r="P6" s="134">
        <f>'CALC | FCAST | HOURS'!P6/'INPUT | SEGMENTATION'!$F$9</f>
        <v>0.35180283094603892</v>
      </c>
      <c r="Q6" s="134">
        <f>'CALC | FCAST | HOURS'!Q6/'INPUT | SEGMENTATION'!$F$9</f>
        <v>0.42924313911244738</v>
      </c>
      <c r="R6" s="143">
        <f>'CALC | FCAST | HOURS'!R6/'INPUT | SEGMENTATION'!$F$9</f>
        <v>32.660518764749639</v>
      </c>
    </row>
    <row r="7" spans="2:18" x14ac:dyDescent="0.25">
      <c r="B7" s="2" t="s">
        <v>39</v>
      </c>
      <c r="C7" s="133">
        <f>'CALC | FCAST | HOURS'!C7/'INPUT | SEGMENTATION'!$F$8</f>
        <v>6.6654787180791812</v>
      </c>
      <c r="D7" s="134">
        <f>'CALC | FCAST | HOURS'!D7/'INPUT | SEGMENTATION'!$F$8</f>
        <v>3.4564311343219303</v>
      </c>
      <c r="E7" s="134">
        <f>'CALC | FCAST | HOURS'!E7/'INPUT | SEGMENTATION'!$F$8</f>
        <v>1.5797447740675097</v>
      </c>
      <c r="F7" s="134">
        <f>'CALC | FCAST | HOURS'!F7/'INPUT | SEGMENTATION'!$F$8</f>
        <v>0.54158104090763359</v>
      </c>
      <c r="G7" s="134">
        <f>'CALC | FCAST | HOURS'!G7/'INPUT | SEGMENTATION'!$F$8</f>
        <v>0.42161736842771846</v>
      </c>
      <c r="H7" s="134">
        <f>'CALC | FCAST | HOURS'!H7/'INPUT | SEGMENTATION'!$F$8</f>
        <v>0.45438648856247049</v>
      </c>
      <c r="I7" s="137">
        <f>'CALC | FCAST | HOURS'!I7/'INPUT | SEGMENTATION'!$F$8</f>
        <v>13.119239524366444</v>
      </c>
      <c r="K7" s="2" t="s">
        <v>39</v>
      </c>
      <c r="L7" s="133">
        <f>'CALC | FCAST | HOURS'!L7/'INPUT | SEGMENTATION'!$F$9</f>
        <v>8.7184333587518967</v>
      </c>
      <c r="M7" s="134">
        <f>'CALC | FCAST | HOURS'!M7/'INPUT | SEGMENTATION'!$F$9</f>
        <v>4.521005283831288</v>
      </c>
      <c r="N7" s="134">
        <f>'CALC | FCAST | HOURS'!N7/'INPUT | SEGMENTATION'!$F$9</f>
        <v>2.0663031297642713</v>
      </c>
      <c r="O7" s="134">
        <f>'CALC | FCAST | HOURS'!O7/'INPUT | SEGMENTATION'!$F$9</f>
        <v>0.70838696112098176</v>
      </c>
      <c r="P7" s="134">
        <f>'CALC | FCAST | HOURS'!P7/'INPUT | SEGMENTATION'!$F$9</f>
        <v>0.5514747079694664</v>
      </c>
      <c r="Q7" s="134">
        <f>'CALC | FCAST | HOURS'!Q7/'INPUT | SEGMENTATION'!$F$9</f>
        <v>0.59433665415569625</v>
      </c>
      <c r="R7" s="143">
        <f>'CALC | FCAST | HOURS'!R7/'INPUT | SEGMENTATION'!$F$9</f>
        <v>17.159940095593601</v>
      </c>
    </row>
    <row r="8" spans="2:18" x14ac:dyDescent="0.25">
      <c r="B8" s="2" t="s">
        <v>40</v>
      </c>
      <c r="C8" s="133">
        <f>'CALC | FCAST | HOURS'!C8/'INPUT | SEGMENTATION'!$F$8</f>
        <v>8.3176059217056455</v>
      </c>
      <c r="D8" s="134">
        <f>'CALC | FCAST | HOURS'!D8/'INPUT | SEGMENTATION'!$F$8</f>
        <v>3.1605498699052665</v>
      </c>
      <c r="E8" s="134">
        <f>'CALC | FCAST | HOURS'!E8/'INPUT | SEGMENTATION'!$F$8</f>
        <v>0.8575757344937911</v>
      </c>
      <c r="F8" s="134">
        <f>'CALC | FCAST | HOURS'!F8/'INPUT | SEGMENTATION'!$F$8</f>
        <v>0.29682807049745302</v>
      </c>
      <c r="G8" s="134">
        <f>'CALC | FCAST | HOURS'!G8/'INPUT | SEGMENTATION'!$F$8</f>
        <v>0.22534721415964265</v>
      </c>
      <c r="H8" s="134">
        <f>'CALC | FCAST | HOURS'!H8/'INPUT | SEGMENTATION'!$F$8</f>
        <v>0.22719324428123525</v>
      </c>
      <c r="I8" s="137">
        <f>'CALC | FCAST | HOURS'!I8/'INPUT | SEGMENTATION'!$F$8</f>
        <v>13.085100055043032</v>
      </c>
      <c r="K8" s="2" t="s">
        <v>40</v>
      </c>
      <c r="L8" s="133">
        <f>'CALC | FCAST | HOURS'!L8/'INPUT | SEGMENTATION'!$F$9</f>
        <v>10.879412567331428</v>
      </c>
      <c r="M8" s="134">
        <f>'CALC | FCAST | HOURS'!M8/'INPUT | SEGMENTATION'!$F$9</f>
        <v>4.1339931583671303</v>
      </c>
      <c r="N8" s="134">
        <f>'CALC | FCAST | HOURS'!N8/'INPUT | SEGMENTATION'!$F$9</f>
        <v>1.1217074133006046</v>
      </c>
      <c r="O8" s="134">
        <f>'CALC | FCAST | HOURS'!O8/'INPUT | SEGMENTATION'!$F$9</f>
        <v>0.38825054599899966</v>
      </c>
      <c r="P8" s="134">
        <f>'CALC | FCAST | HOURS'!P8/'INPUT | SEGMENTATION'!$F$9</f>
        <v>0.29475372322505961</v>
      </c>
      <c r="Q8" s="134">
        <f>'CALC | FCAST | HOURS'!Q8/'INPUT | SEGMENTATION'!$F$9</f>
        <v>0.29716832707784813</v>
      </c>
      <c r="R8" s="143">
        <f>'CALC | FCAST | HOURS'!R8/'INPUT | SEGMENTATION'!$F$9</f>
        <v>17.115285735301068</v>
      </c>
    </row>
    <row r="9" spans="2:18" x14ac:dyDescent="0.25">
      <c r="B9" s="2" t="s">
        <v>42</v>
      </c>
      <c r="C9" s="133">
        <f>'CALC | FCAST | HOURS'!C9/'INPUT | SEGMENTATION'!$F$8</f>
        <v>1.8173399239891099</v>
      </c>
      <c r="D9" s="134">
        <f>'CALC | FCAST | HOURS'!D9/'INPUT | SEGMENTATION'!$F$8</f>
        <v>2.1518637412120962</v>
      </c>
      <c r="E9" s="134">
        <f>'CALC | FCAST | HOURS'!E9/'INPUT | SEGMENTATION'!$F$8</f>
        <v>0.90271129946714845</v>
      </c>
      <c r="F9" s="134">
        <f>'CALC | FCAST | HOURS'!F9/'INPUT | SEGMENTATION'!$F$8</f>
        <v>0.45305337075927038</v>
      </c>
      <c r="G9" s="134">
        <f>'CALC | FCAST | HOURS'!G9/'INPUT | SEGMENTATION'!$F$8</f>
        <v>0.23988574410542599</v>
      </c>
      <c r="H9" s="134">
        <f>'CALC | FCAST | HOURS'!H9/'INPUT | SEGMENTATION'!$F$8</f>
        <v>0.20194955047220911</v>
      </c>
      <c r="I9" s="137">
        <f>'CALC | FCAST | HOURS'!I9/'INPUT | SEGMENTATION'!$F$8</f>
        <v>5.7668036300052599</v>
      </c>
      <c r="K9" s="2" t="s">
        <v>42</v>
      </c>
      <c r="L9" s="133">
        <f>'CALC | FCAST | HOURS'!L9/'INPUT | SEGMENTATION'!$F$9</f>
        <v>2.3770771294374828</v>
      </c>
      <c r="M9" s="134">
        <f>'CALC | FCAST | HOURS'!M9/'INPUT | SEGMENTATION'!$F$9</f>
        <v>2.8146336397393226</v>
      </c>
      <c r="N9" s="134">
        <f>'CALC | FCAST | HOURS'!N9/'INPUT | SEGMENTATION'!$F$9</f>
        <v>1.1807446455795836</v>
      </c>
      <c r="O9" s="134">
        <f>'CALC | FCAST | HOURS'!O9/'INPUT | SEGMENTATION'!$F$9</f>
        <v>0.59259293863005202</v>
      </c>
      <c r="P9" s="134">
        <f>'CALC | FCAST | HOURS'!P9/'INPUT | SEGMENTATION'!$F$9</f>
        <v>0.31377009246538601</v>
      </c>
      <c r="Q9" s="134">
        <f>'CALC | FCAST | HOURS'!Q9/'INPUT | SEGMENTATION'!$F$9</f>
        <v>0.26414962406919834</v>
      </c>
      <c r="R9" s="143">
        <f>'CALC | FCAST | HOURS'!R9/'INPUT | SEGMENTATION'!$F$9</f>
        <v>7.5429680699210246</v>
      </c>
    </row>
    <row r="10" spans="2:18" x14ac:dyDescent="0.25">
      <c r="B10" s="138" t="s">
        <v>30</v>
      </c>
      <c r="C10" s="135">
        <f>'CALC | FCAST | HOURS'!C10/'INPUT | SEGMENTATION'!$F$8</f>
        <v>33.481212330043888</v>
      </c>
      <c r="D10" s="136">
        <f>'CALC | FCAST | HOURS'!D10/'INPUT | SEGMENTATION'!$F$8</f>
        <v>14.148504098469534</v>
      </c>
      <c r="E10" s="136">
        <f>'CALC | FCAST | HOURS'!E10/'INPUT | SEGMENTATION'!$F$8</f>
        <v>4.9961598458970249</v>
      </c>
      <c r="F10" s="136">
        <f>'CALC | FCAST | HOURS'!F10/'INPUT | SEGMENTATION'!$F$8</f>
        <v>1.9476087432639901</v>
      </c>
      <c r="G10" s="136">
        <f>'CALC | FCAST | HOURS'!G10/'INPUT | SEGMENTATION'!$F$8</f>
        <v>1.1558131306897801</v>
      </c>
      <c r="H10" s="136">
        <f>'CALC | FCAST | HOURS'!H10/'INPUT | SEGMENTATION'!$F$8</f>
        <v>1.2116973028332549</v>
      </c>
      <c r="I10" s="135">
        <f>'CALC | FCAST | HOURS'!I10/'INPUT | SEGMENTATION'!$F$8</f>
        <v>56.940995451197466</v>
      </c>
      <c r="K10" s="145" t="s">
        <v>30</v>
      </c>
      <c r="L10" s="144">
        <f>'CALC | FCAST | HOURS'!L10/'INPUT | SEGMENTATION'!$F$9</f>
        <v>43.793361409730686</v>
      </c>
      <c r="M10" s="146">
        <f>'CALC | FCAST | HOURS'!M10/'INPUT | SEGMENTATION'!$F$9</f>
        <v>18.506216181286046</v>
      </c>
      <c r="N10" s="146">
        <f>'CALC | FCAST | HOURS'!N10/'INPUT | SEGMENTATION'!$F$9</f>
        <v>6.5349674807270031</v>
      </c>
      <c r="O10" s="146">
        <f>'CALC | FCAST | HOURS'!O10/'INPUT | SEGMENTATION'!$F$9</f>
        <v>2.5474684948004538</v>
      </c>
      <c r="P10" s="146">
        <f>'CALC | FCAST | HOURS'!P10/'INPUT | SEGMENTATION'!$F$9</f>
        <v>1.511801354605951</v>
      </c>
      <c r="Q10" s="146">
        <f>'CALC | FCAST | HOURS'!Q10/'INPUT | SEGMENTATION'!$F$9</f>
        <v>1.5848977444151904</v>
      </c>
      <c r="R10" s="144">
        <f>'CALC | FCAST | HOURS'!R10/'INPUT | SEGMENTATION'!$F$9</f>
        <v>74.478712665565325</v>
      </c>
    </row>
    <row r="12" spans="2:18" x14ac:dyDescent="0.25">
      <c r="B12" s="184" t="s">
        <v>48</v>
      </c>
      <c r="C12" s="184"/>
      <c r="D12" s="184"/>
      <c r="E12" s="184"/>
      <c r="F12" s="184"/>
      <c r="G12" s="184"/>
      <c r="H12" s="184"/>
      <c r="I12" s="184"/>
      <c r="K12" s="192" t="s">
        <v>49</v>
      </c>
      <c r="L12" s="192"/>
      <c r="M12" s="192"/>
      <c r="N12" s="192"/>
      <c r="O12" s="192"/>
      <c r="P12" s="192"/>
      <c r="Q12" s="192"/>
      <c r="R12" s="192"/>
    </row>
    <row r="14" spans="2:18" x14ac:dyDescent="0.25">
      <c r="C14" s="193" t="s">
        <v>56</v>
      </c>
      <c r="D14" s="184"/>
      <c r="E14" s="184"/>
      <c r="F14" s="184"/>
      <c r="G14" s="184"/>
      <c r="H14" s="184"/>
      <c r="I14" s="184"/>
      <c r="L14" s="194" t="s">
        <v>56</v>
      </c>
      <c r="M14" s="192"/>
      <c r="N14" s="192"/>
      <c r="O14" s="192"/>
      <c r="P14" s="192"/>
      <c r="Q14" s="192"/>
      <c r="R14" s="192"/>
    </row>
    <row r="15" spans="2:18" x14ac:dyDescent="0.25">
      <c r="B15" s="100" t="s">
        <v>29</v>
      </c>
      <c r="C15" s="101" t="s">
        <v>45</v>
      </c>
      <c r="D15" s="102" t="s">
        <v>21</v>
      </c>
      <c r="E15" s="102" t="s">
        <v>22</v>
      </c>
      <c r="F15" s="102" t="s">
        <v>23</v>
      </c>
      <c r="G15" s="102" t="s">
        <v>24</v>
      </c>
      <c r="H15" s="102" t="s">
        <v>25</v>
      </c>
      <c r="I15" s="103" t="s">
        <v>30</v>
      </c>
      <c r="K15" s="96" t="s">
        <v>29</v>
      </c>
      <c r="L15" s="97" t="s">
        <v>45</v>
      </c>
      <c r="M15" s="98" t="s">
        <v>21</v>
      </c>
      <c r="N15" s="98" t="s">
        <v>22</v>
      </c>
      <c r="O15" s="98" t="s">
        <v>23</v>
      </c>
      <c r="P15" s="98" t="s">
        <v>24</v>
      </c>
      <c r="Q15" s="98" t="s">
        <v>25</v>
      </c>
      <c r="R15" s="99" t="s">
        <v>30</v>
      </c>
    </row>
    <row r="16" spans="2:18" x14ac:dyDescent="0.25">
      <c r="B16" s="104" t="s">
        <v>41</v>
      </c>
      <c r="C16" s="133">
        <f>'CALC | FCAST | HOURS'!C16/'INPUT | SEGMENTATION'!$F$10</f>
        <v>135.31980932755349</v>
      </c>
      <c r="D16" s="134">
        <f>'CALC | FCAST | HOURS'!D16/'INPUT | SEGMENTATION'!$F$10</f>
        <v>43.641492722020693</v>
      </c>
      <c r="E16" s="134">
        <f>'CALC | FCAST | HOURS'!E16/'INPUT | SEGMENTATION'!$F$10</f>
        <v>13.435032772226458</v>
      </c>
      <c r="F16" s="134">
        <f>'CALC | FCAST | HOURS'!F16/'INPUT | SEGMENTATION'!$F$10</f>
        <v>5.3228653338860861</v>
      </c>
      <c r="G16" s="134">
        <f>'CALC | FCAST | HOURS'!G16/'INPUT | SEGMENTATION'!$F$10</f>
        <v>2.1819110621785605</v>
      </c>
      <c r="H16" s="134">
        <f>'CALC | FCAST | HOURS'!H16/'INPUT | SEGMENTATION'!$F$10</f>
        <v>2.6622024361633265</v>
      </c>
      <c r="I16" s="142">
        <f>'CALC | FCAST | HOURS'!I16/'INPUT | SEGMENTATION'!$F$10</f>
        <v>202.56331365402863</v>
      </c>
      <c r="K16" s="104" t="s">
        <v>41</v>
      </c>
      <c r="L16" s="133">
        <f>'CALC | FCAST | HOURS'!L16/'INPUT | SEGMENTATION'!$F$11</f>
        <v>918.65501292597173</v>
      </c>
      <c r="M16" s="134">
        <f>'CALC | FCAST | HOURS'!M16/'INPUT | SEGMENTATION'!$F$11</f>
        <v>296.27204072991026</v>
      </c>
      <c r="N16" s="134">
        <f>'CALC | FCAST | HOURS'!N16/'INPUT | SEGMENTATION'!$F$11</f>
        <v>91.207342563979438</v>
      </c>
      <c r="O16" s="134">
        <f>'CALC | FCAST | HOURS'!O16/'INPUT | SEGMENTATION'!$F$11</f>
        <v>36.135706563611485</v>
      </c>
      <c r="P16" s="134">
        <f>'CALC | FCAST | HOURS'!P16/'INPUT | SEGMENTATION'!$F$11</f>
        <v>14.812491570817121</v>
      </c>
      <c r="Q16" s="134">
        <f>'CALC | FCAST | HOURS'!Q16/'INPUT | SEGMENTATION'!$F$11</f>
        <v>18.073079067716346</v>
      </c>
      <c r="R16" s="150">
        <f>'CALC | FCAST | HOURS'!R16/'INPUT | SEGMENTATION'!$F$11</f>
        <v>1375.1556734220067</v>
      </c>
    </row>
    <row r="17" spans="2:18" x14ac:dyDescent="0.25">
      <c r="B17" s="2" t="s">
        <v>39</v>
      </c>
      <c r="C17" s="133">
        <f>'CALC | FCAST | HOURS'!C17/'INPUT | SEGMENTATION'!$F$10</f>
        <v>54.072464792772394</v>
      </c>
      <c r="D17" s="134">
        <f>'CALC | FCAST | HOURS'!D17/'INPUT | SEGMENTATION'!$F$10</f>
        <v>28.039659073898299</v>
      </c>
      <c r="E17" s="134">
        <f>'CALC | FCAST | HOURS'!E17/'INPUT | SEGMENTATION'!$F$10</f>
        <v>12.815387654849138</v>
      </c>
      <c r="F17" s="134">
        <f>'CALC | FCAST | HOURS'!F17/'INPUT | SEGMENTATION'!$F$10</f>
        <v>4.393476148604389</v>
      </c>
      <c r="G17" s="134">
        <f>'CALC | FCAST | HOURS'!G17/'INPUT | SEGMENTATION'!$F$10</f>
        <v>3.4202930163880136</v>
      </c>
      <c r="H17" s="134">
        <f>'CALC | FCAST | HOURS'!H17/'INPUT | SEGMENTATION'!$F$10</f>
        <v>3.6861264500722974</v>
      </c>
      <c r="I17" s="142">
        <f>'CALC | FCAST | HOURS'!I17/'INPUT | SEGMENTATION'!$F$10</f>
        <v>106.42740713658453</v>
      </c>
      <c r="K17" s="2" t="s">
        <v>39</v>
      </c>
      <c r="L17" s="133">
        <f>'CALC | FCAST | HOURS'!L17/'INPUT | SEGMENTATION'!$F$11</f>
        <v>367.08550721427144</v>
      </c>
      <c r="M17" s="134">
        <f>'CALC | FCAST | HOURS'!M17/'INPUT | SEGMENTATION'!$F$11</f>
        <v>190.35478616896737</v>
      </c>
      <c r="N17" s="134">
        <f>'CALC | FCAST | HOURS'!N17/'INPUT | SEGMENTATION'!$F$11</f>
        <v>87.000714605053759</v>
      </c>
      <c r="O17" s="134">
        <f>'CALC | FCAST | HOURS'!O17/'INPUT | SEGMENTATION'!$F$11</f>
        <v>29.826297481076146</v>
      </c>
      <c r="P17" s="134">
        <f>'CALC | FCAST | HOURS'!P17/'INPUT | SEGMENTATION'!$F$11</f>
        <v>23.219581381280893</v>
      </c>
      <c r="Q17" s="134">
        <f>'CALC | FCAST | HOURS'!Q17/'INPUT | SEGMENTATION'!$F$11</f>
        <v>25.02426332453032</v>
      </c>
      <c r="R17" s="150">
        <f>'CALC | FCAST | HOURS'!R17/'INPUT | SEGMENTATION'!$F$11</f>
        <v>722.51115017517998</v>
      </c>
    </row>
    <row r="18" spans="2:18" x14ac:dyDescent="0.25">
      <c r="B18" s="2" t="s">
        <v>40</v>
      </c>
      <c r="C18" s="133">
        <f>'CALC | FCAST | HOURS'!C18/'INPUT | SEGMENTATION'!$F$10</f>
        <v>67.475041536280088</v>
      </c>
      <c r="D18" s="134">
        <f>'CALC | FCAST | HOURS'!D18/'INPUT | SEGMENTATION'!$F$10</f>
        <v>25.639376974187158</v>
      </c>
      <c r="E18" s="134">
        <f>'CALC | FCAST | HOURS'!E18/'INPUT | SEGMENTATION'!$F$10</f>
        <v>6.9569247269181043</v>
      </c>
      <c r="F18" s="134">
        <f>'CALC | FCAST | HOURS'!F18/'INPUT | SEGMENTATION'!$F$10</f>
        <v>2.4079628891389442</v>
      </c>
      <c r="G18" s="134">
        <f>'CALC | FCAST | HOURS'!G18/'INPUT | SEGMENTATION'!$F$10</f>
        <v>1.8280876466901452</v>
      </c>
      <c r="H18" s="134">
        <f>'CALC | FCAST | HOURS'!H18/'INPUT | SEGMENTATION'!$F$10</f>
        <v>1.8430632250361487</v>
      </c>
      <c r="I18" s="142">
        <f>'CALC | FCAST | HOURS'!I18/'INPUT | SEGMENTATION'!$F$10</f>
        <v>106.15045699825058</v>
      </c>
      <c r="K18" s="2" t="s">
        <v>40</v>
      </c>
      <c r="L18" s="133">
        <f>'CALC | FCAST | HOURS'!L18/'INPUT | SEGMENTATION'!$F$11</f>
        <v>458.07251327592849</v>
      </c>
      <c r="M18" s="134">
        <f>'CALC | FCAST | HOURS'!M18/'INPUT | SEGMENTATION'!$F$11</f>
        <v>174.05982392882228</v>
      </c>
      <c r="N18" s="134">
        <f>'CALC | FCAST | HOURS'!N18/'INPUT | SEGMENTATION'!$F$11</f>
        <v>47.22895935702919</v>
      </c>
      <c r="O18" s="134">
        <f>'CALC | FCAST | HOURS'!O18/'INPUT | SEGMENTATION'!$F$11</f>
        <v>16.347105350205197</v>
      </c>
      <c r="P18" s="134">
        <f>'CALC | FCAST | HOURS'!P18/'INPUT | SEGMENTATION'!$F$11</f>
        <v>12.410465910684616</v>
      </c>
      <c r="Q18" s="134">
        <f>'CALC | FCAST | HOURS'!Q18/'INPUT | SEGMENTATION'!$F$11</f>
        <v>12.51213166226516</v>
      </c>
      <c r="R18" s="150">
        <f>'CALC | FCAST | HOURS'!R18/'INPUT | SEGMENTATION'!$F$11</f>
        <v>720.63099948493482</v>
      </c>
    </row>
    <row r="19" spans="2:18" x14ac:dyDescent="0.25">
      <c r="B19" s="2" t="s">
        <v>42</v>
      </c>
      <c r="C19" s="133">
        <f>'CALC | FCAST | HOURS'!C19/'INPUT | SEGMENTATION'!$F$10</f>
        <v>14.742834417858456</v>
      </c>
      <c r="D19" s="134">
        <f>'CALC | FCAST | HOURS'!D19/'INPUT | SEGMENTATION'!$F$10</f>
        <v>17.456597088808277</v>
      </c>
      <c r="E19" s="134">
        <f>'CALC | FCAST | HOURS'!E19/'INPUT | SEGMENTATION'!$F$10</f>
        <v>7.3230786599137936</v>
      </c>
      <c r="F19" s="134">
        <f>'CALC | FCAST | HOURS'!F19/'INPUT | SEGMENTATION'!$F$10</f>
        <v>3.6753117781594407</v>
      </c>
      <c r="G19" s="134">
        <f>'CALC | FCAST | HOURS'!G19/'INPUT | SEGMENTATION'!$F$10</f>
        <v>1.9460287851862834</v>
      </c>
      <c r="H19" s="134">
        <f>'CALC | FCAST | HOURS'!H19/'INPUT | SEGMENTATION'!$F$10</f>
        <v>1.6382784222543545</v>
      </c>
      <c r="I19" s="142">
        <f>'CALC | FCAST | HOURS'!I19/'INPUT | SEGMENTATION'!$F$10</f>
        <v>46.782129152180602</v>
      </c>
      <c r="K19" s="2" t="s">
        <v>42</v>
      </c>
      <c r="L19" s="133">
        <f>'CALC | FCAST | HOURS'!L19/'INPUT | SEGMENTATION'!$F$11</f>
        <v>100.08570666782272</v>
      </c>
      <c r="M19" s="134">
        <f>'CALC | FCAST | HOURS'!M19/'INPUT | SEGMENTATION'!$F$11</f>
        <v>118.5088162919641</v>
      </c>
      <c r="N19" s="134">
        <f>'CALC | FCAST | HOURS'!N19/'INPUT | SEGMENTATION'!$F$11</f>
        <v>49.714694060030723</v>
      </c>
      <c r="O19" s="134">
        <f>'CALC | FCAST | HOURS'!O19/'INPUT | SEGMENTATION'!$F$11</f>
        <v>24.950845008207931</v>
      </c>
      <c r="P19" s="134">
        <f>'CALC | FCAST | HOURS'!P19/'INPUT | SEGMENTATION'!$F$11</f>
        <v>13.211141130728782</v>
      </c>
      <c r="Q19" s="134">
        <f>'CALC | FCAST | HOURS'!Q19/'INPUT | SEGMENTATION'!$F$11</f>
        <v>11.121894810902365</v>
      </c>
      <c r="R19" s="150">
        <f>'CALC | FCAST | HOURS'!R19/'INPUT | SEGMENTATION'!$F$11</f>
        <v>317.59309796965658</v>
      </c>
    </row>
    <row r="20" spans="2:18" x14ac:dyDescent="0.25">
      <c r="B20" s="139" t="s">
        <v>30</v>
      </c>
      <c r="C20" s="140">
        <f>'CALC | FCAST | HOURS'!C20/'INPUT | SEGMENTATION'!$F$10</f>
        <v>271.61015007446446</v>
      </c>
      <c r="D20" s="141">
        <f>'CALC | FCAST | HOURS'!D20/'INPUT | SEGMENTATION'!$F$10</f>
        <v>114.77712585891443</v>
      </c>
      <c r="E20" s="141">
        <f>'CALC | FCAST | HOURS'!E20/'INPUT | SEGMENTATION'!$F$10</f>
        <v>40.530423813907497</v>
      </c>
      <c r="F20" s="141">
        <f>'CALC | FCAST | HOURS'!F20/'INPUT | SEGMENTATION'!$F$10</f>
        <v>15.799616149788861</v>
      </c>
      <c r="G20" s="141">
        <f>'CALC | FCAST | HOURS'!G20/'INPUT | SEGMENTATION'!$F$10</f>
        <v>9.3763205104430032</v>
      </c>
      <c r="H20" s="141">
        <f>'CALC | FCAST | HOURS'!H20/'INPUT | SEGMENTATION'!$F$10</f>
        <v>9.8296705335261283</v>
      </c>
      <c r="I20" s="140">
        <f>'CALC | FCAST | HOURS'!I20/'INPUT | SEGMENTATION'!$F$10</f>
        <v>461.9233069410443</v>
      </c>
      <c r="K20" s="147" t="s">
        <v>30</v>
      </c>
      <c r="L20" s="148">
        <f>'CALC | FCAST | HOURS'!L20/'INPUT | SEGMENTATION'!$F$11</f>
        <v>1843.8987400839944</v>
      </c>
      <c r="M20" s="149">
        <f>'CALC | FCAST | HOURS'!M20/'INPUT | SEGMENTATION'!$F$11</f>
        <v>779.19546711966404</v>
      </c>
      <c r="N20" s="149">
        <f>'CALC | FCAST | HOURS'!N20/'INPUT | SEGMENTATION'!$F$11</f>
        <v>275.15171058609309</v>
      </c>
      <c r="O20" s="149">
        <f>'CALC | FCAST | HOURS'!O20/'INPUT | SEGMENTATION'!$F$11</f>
        <v>107.25995440310078</v>
      </c>
      <c r="P20" s="149">
        <f>'CALC | FCAST | HOURS'!P20/'INPUT | SEGMENTATION'!$F$11</f>
        <v>63.653679993511417</v>
      </c>
      <c r="Q20" s="149">
        <f>'CALC | FCAST | HOURS'!Q20/'INPUT | SEGMENTATION'!$F$11</f>
        <v>66.731368865414197</v>
      </c>
      <c r="R20" s="148">
        <f>'CALC | FCAST | HOURS'!R20/'INPUT | SEGMENTATION'!$F$11</f>
        <v>3135.8909210517777</v>
      </c>
    </row>
  </sheetData>
  <mergeCells count="8">
    <mergeCell ref="C14:I14"/>
    <mergeCell ref="L14:R14"/>
    <mergeCell ref="B2:I2"/>
    <mergeCell ref="K2:R2"/>
    <mergeCell ref="C4:I4"/>
    <mergeCell ref="L4:R4"/>
    <mergeCell ref="B12:I12"/>
    <mergeCell ref="K12:R12"/>
  </mergeCells>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009C9-2722-4E7E-8C21-9E0BD742962A}">
  <sheetPr>
    <tabColor rgb="FF293894"/>
  </sheetPr>
  <dimension ref="B2:R30"/>
  <sheetViews>
    <sheetView workbookViewId="0">
      <selection activeCell="Q20" sqref="Q20"/>
    </sheetView>
  </sheetViews>
  <sheetFormatPr defaultRowHeight="15" x14ac:dyDescent="0.25"/>
  <cols>
    <col min="1" max="1" width="2.7109375" style="2" customWidth="1"/>
    <col min="2" max="2" width="39.42578125" style="2" bestFit="1" customWidth="1"/>
    <col min="3" max="9" width="9.140625" style="2"/>
    <col min="10" max="10" width="2.7109375" style="2" customWidth="1"/>
    <col min="11" max="11" width="39.42578125" style="2" bestFit="1" customWidth="1"/>
    <col min="12" max="18" width="9.140625" style="2"/>
    <col min="19" max="19" width="2.7109375" style="2" customWidth="1"/>
    <col min="20" max="20" width="39.42578125" style="2" bestFit="1" customWidth="1"/>
    <col min="21" max="16384" width="9.140625" style="2"/>
  </cols>
  <sheetData>
    <row r="2" spans="2:18" x14ac:dyDescent="0.25">
      <c r="B2" s="195" t="s">
        <v>46</v>
      </c>
      <c r="C2" s="195"/>
      <c r="D2" s="195"/>
      <c r="E2" s="195"/>
      <c r="F2" s="195"/>
      <c r="G2" s="195"/>
      <c r="H2" s="195"/>
      <c r="I2" s="195"/>
      <c r="K2" s="196" t="s">
        <v>47</v>
      </c>
      <c r="L2" s="196"/>
      <c r="M2" s="196"/>
      <c r="N2" s="196"/>
      <c r="O2" s="196"/>
      <c r="P2" s="196"/>
      <c r="Q2" s="196"/>
      <c r="R2" s="196"/>
    </row>
    <row r="4" spans="2:18" x14ac:dyDescent="0.25">
      <c r="C4" s="198" t="s">
        <v>56</v>
      </c>
      <c r="D4" s="195"/>
      <c r="E4" s="195"/>
      <c r="F4" s="195"/>
      <c r="G4" s="195"/>
      <c r="H4" s="195"/>
      <c r="I4" s="195"/>
      <c r="L4" s="199" t="s">
        <v>56</v>
      </c>
      <c r="M4" s="196"/>
      <c r="N4" s="196"/>
      <c r="O4" s="196"/>
      <c r="P4" s="196"/>
      <c r="Q4" s="196"/>
      <c r="R4" s="196"/>
    </row>
    <row r="5" spans="2:18" x14ac:dyDescent="0.25">
      <c r="B5" s="83" t="s">
        <v>29</v>
      </c>
      <c r="C5" s="85" t="s">
        <v>45</v>
      </c>
      <c r="D5" s="84" t="s">
        <v>21</v>
      </c>
      <c r="E5" s="84" t="s">
        <v>22</v>
      </c>
      <c r="F5" s="84" t="s">
        <v>23</v>
      </c>
      <c r="G5" s="84" t="s">
        <v>24</v>
      </c>
      <c r="H5" s="84" t="s">
        <v>25</v>
      </c>
      <c r="I5" s="87" t="s">
        <v>30</v>
      </c>
      <c r="K5" s="89" t="s">
        <v>29</v>
      </c>
      <c r="L5" s="90" t="s">
        <v>45</v>
      </c>
      <c r="M5" s="91" t="s">
        <v>21</v>
      </c>
      <c r="N5" s="91" t="s">
        <v>22</v>
      </c>
      <c r="O5" s="91" t="s">
        <v>23</v>
      </c>
      <c r="P5" s="91" t="s">
        <v>24</v>
      </c>
      <c r="Q5" s="91" t="s">
        <v>25</v>
      </c>
      <c r="R5" s="95" t="s">
        <v>30</v>
      </c>
    </row>
    <row r="6" spans="2:18" x14ac:dyDescent="0.25">
      <c r="B6" s="104" t="s">
        <v>41</v>
      </c>
      <c r="C6" s="127">
        <f>('OUTPUT | BLINE | HR PER PT'!C6-'OUTPUT | FCAST | HR PER PT'!C6)*'INPUT | SEGMENTATION'!$F$8</f>
        <v>219027.72634478935</v>
      </c>
      <c r="D6" s="123">
        <f>('OUTPUT | BLINE | HR PER PT'!D6-'OUTPUT | FCAST | HR PER PT'!D6)*'INPUT | SEGMENTATION'!$F$8</f>
        <v>70637.824370999617</v>
      </c>
      <c r="E6" s="123">
        <f>('OUTPUT | BLINE | HR PER PT'!E6-'OUTPUT | FCAST | HR PER PT'!E6)*'INPUT | SEGMENTATION'!$F$8</f>
        <v>21745.852998843471</v>
      </c>
      <c r="F6" s="123">
        <f>('OUTPUT | BLINE | HR PER PT'!F6-'OUTPUT | FCAST | HR PER PT'!F6)*'INPUT | SEGMENTATION'!$F$8</f>
        <v>8615.5537575324215</v>
      </c>
      <c r="G6" s="123">
        <f>('OUTPUT | BLINE | HR PER PT'!G6-'OUTPUT | FCAST | HR PER PT'!G6)*'INPUT | SEGMENTATION'!$F$8</f>
        <v>3531.6264589075749</v>
      </c>
      <c r="H6" s="123">
        <f>('OUTPUT | BLINE | HR PER PT'!H6-'OUTPUT | FCAST | HR PER PT'!H6)*'INPUT | SEGMENTATION'!$F$8</f>
        <v>4309.0228220096078</v>
      </c>
      <c r="I6" s="151">
        <f>('OUTPUT | BLINE | HR PER PT'!I6-'OUTPUT | FCAST | HR PER PT'!I6)*'INPUT | SEGMENTATION'!$F$8</f>
        <v>327867.60675308289</v>
      </c>
      <c r="K6" s="104" t="s">
        <v>41</v>
      </c>
      <c r="L6" s="127">
        <f>('OUTPUT | BLINE | HR PER PT'!L6-'OUTPUT | FCAST | HR PER PT'!L6)*'INPUT | SEGMENTATION'!$F$9</f>
        <v>1065283.2746508145</v>
      </c>
      <c r="M6" s="123">
        <f>('OUTPUT | BLINE | HR PER PT'!M6-'OUTPUT | FCAST | HR PER PT'!M6)*'INPUT | SEGMENTATION'!$F$9</f>
        <v>343560.58073529665</v>
      </c>
      <c r="N6" s="123">
        <f>('OUTPUT | BLINE | HR PER PT'!N6-'OUTPUT | FCAST | HR PER PT'!N6)*'INPUT | SEGMENTATION'!$F$9</f>
        <v>105765.11877869035</v>
      </c>
      <c r="O6" s="123">
        <f>('OUTPUT | BLINE | HR PER PT'!O6-'OUTPUT | FCAST | HR PER PT'!O6)*'INPUT | SEGMENTATION'!$F$9</f>
        <v>41903.394939626844</v>
      </c>
      <c r="P6" s="123">
        <f>('OUTPUT | BLINE | HR PER PT'!P6-'OUTPUT | FCAST | HR PER PT'!P6)*'INPUT | SEGMENTATION'!$F$9</f>
        <v>17176.741327562122</v>
      </c>
      <c r="Q6" s="123">
        <f>('OUTPUT | BLINE | HR PER PT'!Q6-'OUTPUT | FCAST | HR PER PT'!Q6)*'INPUT | SEGMENTATION'!$F$9</f>
        <v>20957.75735328341</v>
      </c>
      <c r="R6" s="154">
        <f>('OUTPUT | BLINE | HR PER PT'!R6-'OUTPUT | FCAST | HR PER PT'!R6)*'INPUT | SEGMENTATION'!$F$9</f>
        <v>1594646.8677852743</v>
      </c>
    </row>
    <row r="7" spans="2:18" x14ac:dyDescent="0.25">
      <c r="B7" s="2" t="s">
        <v>39</v>
      </c>
      <c r="C7" s="127">
        <f>('OUTPUT | BLINE | HR PER PT'!C7-'OUTPUT | FCAST | HR PER PT'!C7)*'INPUT | SEGMENTATION'!$F$8</f>
        <v>87521.325076299399</v>
      </c>
      <c r="D7" s="123">
        <f>('OUTPUT | BLINE | HR PER PT'!D7-'OUTPUT | FCAST | HR PER PT'!D7)*'INPUT | SEGMENTATION'!$F$8</f>
        <v>45384.802158367303</v>
      </c>
      <c r="E7" s="123">
        <f>('OUTPUT | BLINE | HR PER PT'!E7-'OUTPUT | FCAST | HR PER PT'!E7)*'INPUT | SEGMENTATION'!$F$8</f>
        <v>20742.899611056073</v>
      </c>
      <c r="F7" s="123">
        <f>('OUTPUT | BLINE | HR PER PT'!F7-'OUTPUT | FCAST | HR PER PT'!F7)*'INPUT | SEGMENTATION'!$F$8</f>
        <v>7111.2507205029069</v>
      </c>
      <c r="G7" s="123">
        <f>('OUTPUT | BLINE | HR PER PT'!G7-'OUTPUT | FCAST | HR PER PT'!G7)*'INPUT | SEGMENTATION'!$F$8</f>
        <v>5536.0630977470073</v>
      </c>
      <c r="H7" s="123">
        <f>('OUTPUT | BLINE | HR PER PT'!H7-'OUTPUT | FCAST | HR PER PT'!H7)*'INPUT | SEGMENTATION'!$F$8</f>
        <v>5966.3392920132865</v>
      </c>
      <c r="I7" s="151">
        <f>('OUTPUT | BLINE | HR PER PT'!I7-'OUTPUT | FCAST | HR PER PT'!I7)*'INPUT | SEGMENTATION'!$F$8</f>
        <v>172262.67995598598</v>
      </c>
      <c r="K7" s="2" t="s">
        <v>39</v>
      </c>
      <c r="L7" s="127">
        <f>('OUTPUT | BLINE | HR PER PT'!L7-'OUTPUT | FCAST | HR PER PT'!L7)*'INPUT | SEGMENTATION'!$F$9</f>
        <v>425676.7183543219</v>
      </c>
      <c r="M7" s="123">
        <f>('OUTPUT | BLINE | HR PER PT'!M7-'OUTPUT | FCAST | HR PER PT'!M7)*'INPUT | SEGMENTATION'!$F$9</f>
        <v>220737.67312242821</v>
      </c>
      <c r="N7" s="123">
        <f>('OUTPUT | BLINE | HR PER PT'!N7-'OUTPUT | FCAST | HR PER PT'!N7)*'INPUT | SEGMENTATION'!$F$9</f>
        <v>100887.0629859624</v>
      </c>
      <c r="O7" s="123">
        <f>('OUTPUT | BLINE | HR PER PT'!O7-'OUTPUT | FCAST | HR PER PT'!O7)*'INPUT | SEGMENTATION'!$F$9</f>
        <v>34586.929156517392</v>
      </c>
      <c r="P7" s="123">
        <f>('OUTPUT | BLINE | HR PER PT'!P7-'OUTPUT | FCAST | HR PER PT'!P7)*'INPUT | SEGMENTATION'!$F$9</f>
        <v>26925.702621583852</v>
      </c>
      <c r="Q7" s="123">
        <f>('OUTPUT | BLINE | HR PER PT'!Q7-'OUTPUT | FCAST | HR PER PT'!Q7)*'INPUT | SEGMENTATION'!$F$9</f>
        <v>29018.433258392419</v>
      </c>
      <c r="R7" s="154">
        <f>('OUTPUT | BLINE | HR PER PT'!R7-'OUTPUT | FCAST | HR PER PT'!R7)*'INPUT | SEGMENTATION'!$F$9</f>
        <v>837832.51949920645</v>
      </c>
    </row>
    <row r="8" spans="2:18" x14ac:dyDescent="0.25">
      <c r="B8" s="2" t="s">
        <v>40</v>
      </c>
      <c r="C8" s="127">
        <f>('OUTPUT | BLINE | HR PER PT'!C8-'OUTPUT | FCAST | HR PER PT'!C8)*'INPUT | SEGMENTATION'!$F$8</f>
        <v>109214.64496700624</v>
      </c>
      <c r="D8" s="123">
        <f>('OUTPUT | BLINE | HR PER PT'!D8-'OUTPUT | FCAST | HR PER PT'!D8)*'INPUT | SEGMENTATION'!$F$8</f>
        <v>41499.72181796228</v>
      </c>
      <c r="E8" s="123">
        <f>('OUTPUT | BLINE | HR PER PT'!E8-'OUTPUT | FCAST | HR PER PT'!E8)*'INPUT | SEGMENTATION'!$F$8</f>
        <v>11260.431217430449</v>
      </c>
      <c r="F8" s="123">
        <f>('OUTPUT | BLINE | HR PER PT'!F8-'OUTPUT | FCAST | HR PER PT'!F8)*'INPUT | SEGMENTATION'!$F$8</f>
        <v>3897.5124141217993</v>
      </c>
      <c r="G8" s="123">
        <f>('OUTPUT | BLINE | HR PER PT'!G8-'OUTPUT | FCAST | HR PER PT'!G8)*'INPUT | SEGMENTATION'!$F$8</f>
        <v>2958.9302763820215</v>
      </c>
      <c r="H8" s="123">
        <f>('OUTPUT | BLINE | HR PER PT'!H8-'OUTPUT | FCAST | HR PER PT'!H8)*'INPUT | SEGMENTATION'!$F$8</f>
        <v>2983.1696460066432</v>
      </c>
      <c r="I8" s="151">
        <f>('OUTPUT | BLINE | HR PER PT'!I8-'OUTPUT | FCAST | HR PER PT'!I8)*'INPUT | SEGMENTATION'!$F$8</f>
        <v>171814.41033890957</v>
      </c>
      <c r="K8" s="2" t="s">
        <v>40</v>
      </c>
      <c r="L8" s="127">
        <f>('OUTPUT | BLINE | HR PER PT'!L8-'OUTPUT | FCAST | HR PER PT'!L8)*'INPUT | SEGMENTATION'!$F$9</f>
        <v>531186.33230539237</v>
      </c>
      <c r="M8" s="123">
        <f>('OUTPUT | BLINE | HR PER PT'!M8-'OUTPUT | FCAST | HR PER PT'!M8)*'INPUT | SEGMENTATION'!$F$9</f>
        <v>201841.84118198685</v>
      </c>
      <c r="N8" s="123">
        <f>('OUTPUT | BLINE | HR PER PT'!N8-'OUTPUT | FCAST | HR PER PT'!N8)*'INPUT | SEGMENTATION'!$F$9</f>
        <v>54767.262763808132</v>
      </c>
      <c r="O8" s="123">
        <f>('OUTPUT | BLINE | HR PER PT'!O8-'OUTPUT | FCAST | HR PER PT'!O8)*'INPUT | SEGMENTATION'!$F$9</f>
        <v>18956.297710783569</v>
      </c>
      <c r="P8" s="123">
        <f>('OUTPUT | BLINE | HR PER PT'!P8-'OUTPUT | FCAST | HR PER PT'!P8)*'INPUT | SEGMENTATION'!$F$9</f>
        <v>14391.323814984487</v>
      </c>
      <c r="Q8" s="123">
        <f>('OUTPUT | BLINE | HR PER PT'!Q8-'OUTPUT | FCAST | HR PER PT'!Q8)*'INPUT | SEGMENTATION'!$F$9</f>
        <v>14509.216629196209</v>
      </c>
      <c r="R8" s="154">
        <f>('OUTPUT | BLINE | HR PER PT'!R8-'OUTPUT | FCAST | HR PER PT'!R8)*'INPUT | SEGMENTATION'!$F$9</f>
        <v>835652.27440615173</v>
      </c>
    </row>
    <row r="9" spans="2:18" x14ac:dyDescent="0.25">
      <c r="B9" s="2" t="s">
        <v>42</v>
      </c>
      <c r="C9" s="127">
        <f>('OUTPUT | BLINE | HR PER PT'!C9-'OUTPUT | FCAST | HR PER PT'!C9)*'INPUT | SEGMENTATION'!$F$8</f>
        <v>23862.65187977735</v>
      </c>
      <c r="D9" s="123">
        <f>('OUTPUT | BLINE | HR PER PT'!D9-'OUTPUT | FCAST | HR PER PT'!D9)*'INPUT | SEGMENTATION'!$F$8</f>
        <v>28255.129748399813</v>
      </c>
      <c r="E9" s="123">
        <f>('OUTPUT | BLINE | HR PER PT'!E9-'OUTPUT | FCAST | HR PER PT'!E9)*'INPUT | SEGMENTATION'!$F$8</f>
        <v>11853.085492032058</v>
      </c>
      <c r="F9" s="123">
        <f>('OUTPUT | BLINE | HR PER PT'!F9-'OUTPUT | FCAST | HR PER PT'!F9)*'INPUT | SEGMENTATION'!$F$8</f>
        <v>5948.8347373437964</v>
      </c>
      <c r="G9" s="123">
        <f>('OUTPUT | BLINE | HR PER PT'!G9-'OUTPUT | FCAST | HR PER PT'!G9)*'INPUT | SEGMENTATION'!$F$8</f>
        <v>3149.8290038905393</v>
      </c>
      <c r="H9" s="123">
        <f>('OUTPUT | BLINE | HR PER PT'!H9-'OUTPUT | FCAST | HR PER PT'!H9)*'INPUT | SEGMENTATION'!$F$8</f>
        <v>2651.7063520058996</v>
      </c>
      <c r="I9" s="151">
        <f>('OUTPUT | BLINE | HR PER PT'!I9-'OUTPUT | FCAST | HR PER PT'!I9)*'INPUT | SEGMENTATION'!$F$8</f>
        <v>75721.237213449291</v>
      </c>
      <c r="K9" s="2" t="s">
        <v>42</v>
      </c>
      <c r="L9" s="127">
        <f>('OUTPUT | BLINE | HR PER PT'!L9-'OUTPUT | FCAST | HR PER PT'!L9)*'INPUT | SEGMENTATION'!$F$9</f>
        <v>116060.57534617827</v>
      </c>
      <c r="M9" s="123">
        <f>('OUTPUT | BLINE | HR PER PT'!M9-'OUTPUT | FCAST | HR PER PT'!M9)*'INPUT | SEGMENTATION'!$F$9</f>
        <v>137424.2322941187</v>
      </c>
      <c r="N9" s="123">
        <f>('OUTPUT | BLINE | HR PER PT'!N9-'OUTPUT | FCAST | HR PER PT'!N9)*'INPUT | SEGMENTATION'!$F$9</f>
        <v>57649.75027769286</v>
      </c>
      <c r="O9" s="123">
        <f>('OUTPUT | BLINE | HR PER PT'!O9-'OUTPUT | FCAST | HR PER PT'!O9)*'INPUT | SEGMENTATION'!$F$9</f>
        <v>28933.296505932823</v>
      </c>
      <c r="P9" s="123">
        <f>('OUTPUT | BLINE | HR PER PT'!P9-'OUTPUT | FCAST | HR PER PT'!P9)*'INPUT | SEGMENTATION'!$F$9</f>
        <v>15319.796319177032</v>
      </c>
      <c r="Q9" s="123">
        <f>('OUTPUT | BLINE | HR PER PT'!Q9-'OUTPUT | FCAST | HR PER PT'!Q9)*'INPUT | SEGMENTATION'!$F$9</f>
        <v>12897.081448174415</v>
      </c>
      <c r="R9" s="154">
        <f>('OUTPUT | BLINE | HR PER PT'!R9-'OUTPUT | FCAST | HR PER PT'!R9)*'INPUT | SEGMENTATION'!$F$9</f>
        <v>368284.73219127388</v>
      </c>
    </row>
    <row r="10" spans="2:18" x14ac:dyDescent="0.25">
      <c r="B10" s="138" t="s">
        <v>30</v>
      </c>
      <c r="C10" s="152">
        <f>('OUTPUT | BLINE | HR PER PT'!C10-'OUTPUT | FCAST | HR PER PT'!C10)*'INPUT | SEGMENTATION'!$F$8</f>
        <v>439626.34826787369</v>
      </c>
      <c r="D10" s="153">
        <f>('OUTPUT | BLINE | HR PER PT'!D10-'OUTPUT | FCAST | HR PER PT'!D10)*'INPUT | SEGMENTATION'!$F$8</f>
        <v>185777.47809572917</v>
      </c>
      <c r="E10" s="153">
        <f>('OUTPUT | BLINE | HR PER PT'!E10-'OUTPUT | FCAST | HR PER PT'!E10)*'INPUT | SEGMENTATION'!$F$8</f>
        <v>65602.269319362123</v>
      </c>
      <c r="F10" s="153">
        <f>('OUTPUT | BLINE | HR PER PT'!F10-'OUTPUT | FCAST | HR PER PT'!F10)*'INPUT | SEGMENTATION'!$F$8</f>
        <v>25573.151629500964</v>
      </c>
      <c r="G10" s="153">
        <f>('OUTPUT | BLINE | HR PER PT'!G10-'OUTPUT | FCAST | HR PER PT'!G10)*'INPUT | SEGMENTATION'!$F$8</f>
        <v>15176.448836927113</v>
      </c>
      <c r="H10" s="153">
        <f>('OUTPUT | BLINE | HR PER PT'!H10-'OUTPUT | FCAST | HR PER PT'!H10)*'INPUT | SEGMENTATION'!$F$8</f>
        <v>15910.238112035378</v>
      </c>
      <c r="I10" s="152">
        <f>('OUTPUT | BLINE | HR PER PT'!I10-'OUTPUT | FCAST | HR PER PT'!I10)*'INPUT | SEGMENTATION'!$F$8</f>
        <v>747665.93426142901</v>
      </c>
      <c r="K10" s="145" t="s">
        <v>30</v>
      </c>
      <c r="L10" s="155">
        <f>('OUTPUT | BLINE | HR PER PT'!L10-'OUTPUT | FCAST | HR PER PT'!L10)*'INPUT | SEGMENTATION'!$F$9</f>
        <v>2138206.9006567081</v>
      </c>
      <c r="M10" s="156">
        <f>('OUTPUT | BLINE | HR PER PT'!M10-'OUTPUT | FCAST | HR PER PT'!M10)*'INPUT | SEGMENTATION'!$F$9</f>
        <v>903564.32733383065</v>
      </c>
      <c r="N10" s="156">
        <f>('OUTPUT | BLINE | HR PER PT'!N10-'OUTPUT | FCAST | HR PER PT'!N10)*'INPUT | SEGMENTATION'!$F$9</f>
        <v>319069.19480615365</v>
      </c>
      <c r="O10" s="156">
        <f>('OUTPUT | BLINE | HR PER PT'!O10-'OUTPUT | FCAST | HR PER PT'!O10)*'INPUT | SEGMENTATION'!$F$9</f>
        <v>124379.91831286065</v>
      </c>
      <c r="P10" s="156">
        <f>('OUTPUT | BLINE | HR PER PT'!P10-'OUTPUT | FCAST | HR PER PT'!P10)*'INPUT | SEGMENTATION'!$F$9</f>
        <v>73813.564083307516</v>
      </c>
      <c r="Q10" s="156">
        <f>('OUTPUT | BLINE | HR PER PT'!Q10-'OUTPUT | FCAST | HR PER PT'!Q10)*'INPUT | SEGMENTATION'!$F$9</f>
        <v>77382.488689046455</v>
      </c>
      <c r="R10" s="155">
        <f>('OUTPUT | BLINE | HR PER PT'!R10-'OUTPUT | FCAST | HR PER PT'!R10)*'INPUT | SEGMENTATION'!$F$9</f>
        <v>3636416.3938819063</v>
      </c>
    </row>
    <row r="12" spans="2:18" x14ac:dyDescent="0.25">
      <c r="B12" s="184" t="s">
        <v>48</v>
      </c>
      <c r="C12" s="184"/>
      <c r="D12" s="184"/>
      <c r="E12" s="184"/>
      <c r="F12" s="184"/>
      <c r="G12" s="184"/>
      <c r="H12" s="184"/>
      <c r="I12" s="184"/>
      <c r="K12" s="192" t="s">
        <v>49</v>
      </c>
      <c r="L12" s="192"/>
      <c r="M12" s="192"/>
      <c r="N12" s="192"/>
      <c r="O12" s="192"/>
      <c r="P12" s="192"/>
      <c r="Q12" s="192"/>
      <c r="R12" s="192"/>
    </row>
    <row r="14" spans="2:18" x14ac:dyDescent="0.25">
      <c r="C14" s="193" t="s">
        <v>56</v>
      </c>
      <c r="D14" s="184"/>
      <c r="E14" s="184"/>
      <c r="F14" s="184"/>
      <c r="G14" s="184"/>
      <c r="H14" s="184"/>
      <c r="I14" s="184"/>
      <c r="L14" s="194" t="s">
        <v>56</v>
      </c>
      <c r="M14" s="192"/>
      <c r="N14" s="192"/>
      <c r="O14" s="192"/>
      <c r="P14" s="192"/>
      <c r="Q14" s="192"/>
      <c r="R14" s="192"/>
    </row>
    <row r="15" spans="2:18" x14ac:dyDescent="0.25">
      <c r="B15" s="100" t="s">
        <v>29</v>
      </c>
      <c r="C15" s="101" t="s">
        <v>45</v>
      </c>
      <c r="D15" s="102" t="s">
        <v>21</v>
      </c>
      <c r="E15" s="102" t="s">
        <v>22</v>
      </c>
      <c r="F15" s="102" t="s">
        <v>23</v>
      </c>
      <c r="G15" s="102" t="s">
        <v>24</v>
      </c>
      <c r="H15" s="102" t="s">
        <v>25</v>
      </c>
      <c r="I15" s="103" t="s">
        <v>30</v>
      </c>
      <c r="K15" s="96" t="s">
        <v>29</v>
      </c>
      <c r="L15" s="97" t="s">
        <v>45</v>
      </c>
      <c r="M15" s="98" t="s">
        <v>21</v>
      </c>
      <c r="N15" s="98" t="s">
        <v>22</v>
      </c>
      <c r="O15" s="98" t="s">
        <v>23</v>
      </c>
      <c r="P15" s="98" t="s">
        <v>24</v>
      </c>
      <c r="Q15" s="98" t="s">
        <v>25</v>
      </c>
      <c r="R15" s="99" t="s">
        <v>30</v>
      </c>
    </row>
    <row r="16" spans="2:18" x14ac:dyDescent="0.25">
      <c r="B16" s="104" t="s">
        <v>41</v>
      </c>
      <c r="C16" s="127">
        <f>('OUTPUT | BLINE | HR PER PT'!C16-'OUTPUT | FCAST | HR PER PT'!C16)*'INPUT | SEGMENTATION'!$F$10</f>
        <v>2287768.8130499916</v>
      </c>
      <c r="D16" s="123">
        <f>('OUTPUT | BLINE | HR PER PT'!D16-'OUTPUT | FCAST | HR PER PT'!D16)*'INPUT | SEGMENTATION'!$F$10</f>
        <v>737819.88387754536</v>
      </c>
      <c r="E16" s="123">
        <f>('OUTPUT | BLINE | HR PER PT'!E16-'OUTPUT | FCAST | HR PER PT'!E16)*'INPUT | SEGMENTATION'!$F$10</f>
        <v>227137.8383648507</v>
      </c>
      <c r="F16" s="123">
        <f>('OUTPUT | BLINE | HR PER PT'!F16-'OUTPUT | FCAST | HR PER PT'!F16)*'INPUT | SEGMENTATION'!$F$10</f>
        <v>89990.411362854065</v>
      </c>
      <c r="G16" s="123">
        <f>('OUTPUT | BLINE | HR PER PT'!G16-'OUTPUT | FCAST | HR PER PT'!G16)*'INPUT | SEGMENTATION'!$F$10</f>
        <v>36888.228750145689</v>
      </c>
      <c r="H16" s="123">
        <f>('OUTPUT | BLINE | HR PER PT'!H16-'OUTPUT | FCAST | HR PER PT'!H16)*'INPUT | SEGMENTATION'!$F$10</f>
        <v>45008.219696331122</v>
      </c>
      <c r="I16" s="157">
        <f>('OUTPUT | BLINE | HR PER PT'!I16-'OUTPUT | FCAST | HR PER PT'!I16)*'INPUT | SEGMENTATION'!$F$10</f>
        <v>3424613.39510172</v>
      </c>
      <c r="K16" s="104" t="s">
        <v>41</v>
      </c>
      <c r="L16" s="127">
        <f>('OUTPUT | BLINE | HR PER PT'!L16-'OUTPUT | FCAST | HR PER PT'!L16)*'INPUT | SEGMENTATION'!$F$11</f>
        <v>3529823.447523132</v>
      </c>
      <c r="M16" s="123">
        <f>('OUTPUT | BLINE | HR PER PT'!M16-'OUTPUT | FCAST | HR PER PT'!M16)*'INPUT | SEGMENTATION'!$F$11</f>
        <v>1138390.3440346636</v>
      </c>
      <c r="N16" s="123">
        <f>('OUTPUT | BLINE | HR PER PT'!N16-'OUTPUT | FCAST | HR PER PT'!N16)*'INPUT | SEGMENTATION'!$F$11</f>
        <v>350453.44752780721</v>
      </c>
      <c r="O16" s="123">
        <f>('OUTPUT | BLINE | HR PER PT'!O16-'OUTPUT | FCAST | HR PER PT'!O16)*'INPUT | SEGMENTATION'!$F$11</f>
        <v>138847.18694865482</v>
      </c>
      <c r="P16" s="123">
        <f>('OUTPUT | BLINE | HR PER PT'!P16-'OUTPUT | FCAST | HR PER PT'!P16)*'INPUT | SEGMENTATION'!$F$11</f>
        <v>56915.250368445282</v>
      </c>
      <c r="Q16" s="123">
        <f>('OUTPUT | BLINE | HR PER PT'!Q16-'OUTPUT | FCAST | HR PER PT'!Q16)*'INPUT | SEGMENTATION'!$F$11</f>
        <v>69443.672939827986</v>
      </c>
      <c r="R16" s="160">
        <f>('OUTPUT | BLINE | HR PER PT'!R16-'OUTPUT | FCAST | HR PER PT'!R16)*'INPUT | SEGMENTATION'!$F$11</f>
        <v>5283873.3493425297</v>
      </c>
    </row>
    <row r="17" spans="2:18" x14ac:dyDescent="0.25">
      <c r="B17" s="2" t="s">
        <v>39</v>
      </c>
      <c r="C17" s="127">
        <f>('OUTPUT | BLINE | HR PER PT'!C17-'OUTPUT | FCAST | HR PER PT'!C17)*'INPUT | SEGMENTATION'!$F$10</f>
        <v>914169.91505071381</v>
      </c>
      <c r="D17" s="123">
        <f>('OUTPUT | BLINE | HR PER PT'!D17-'OUTPUT | FCAST | HR PER PT'!D17)*'INPUT | SEGMENTATION'!$F$10</f>
        <v>474049.27539132279</v>
      </c>
      <c r="E17" s="123">
        <f>('OUTPUT | BLINE | HR PER PT'!E17-'OUTPUT | FCAST | HR PER PT'!E17)*'INPUT | SEGMENTATION'!$F$10</f>
        <v>216661.87936269809</v>
      </c>
      <c r="F17" s="123">
        <f>('OUTPUT | BLINE | HR PER PT'!F17-'OUTPUT | FCAST | HR PER PT'!F17)*'INPUT | SEGMENTATION'!$F$10</f>
        <v>74277.799855054138</v>
      </c>
      <c r="G17" s="123">
        <f>('OUTPUT | BLINE | HR PER PT'!G17-'OUTPUT | FCAST | HR PER PT'!G17)*'INPUT | SEGMENTATION'!$F$10</f>
        <v>57824.791013741902</v>
      </c>
      <c r="H17" s="123">
        <f>('OUTPUT | BLINE | HR PER PT'!H17-'OUTPUT | FCAST | HR PER PT'!H17)*'INPUT | SEGMENTATION'!$F$10</f>
        <v>62319.073425689283</v>
      </c>
      <c r="I17" s="157">
        <f>('OUTPUT | BLINE | HR PER PT'!I17-'OUTPUT | FCAST | HR PER PT'!I17)*'INPUT | SEGMENTATION'!$F$10</f>
        <v>1799302.7340992198</v>
      </c>
      <c r="K17" s="2" t="s">
        <v>39</v>
      </c>
      <c r="L17" s="127">
        <f>('OUTPUT | BLINE | HR PER PT'!L17-'OUTPUT | FCAST | HR PER PT'!L17)*'INPUT | SEGMENTATION'!$F$11</f>
        <v>1410482.7300553492</v>
      </c>
      <c r="M17" s="123">
        <f>('OUTPUT | BLINE | HR PER PT'!M17-'OUTPUT | FCAST | HR PER PT'!M17)*'INPUT | SEGMENTATION'!$F$11</f>
        <v>731415.79604227154</v>
      </c>
      <c r="N17" s="123">
        <f>('OUTPUT | BLINE | HR PER PT'!N17-'OUTPUT | FCAST | HR PER PT'!N17)*'INPUT | SEGMENTATION'!$F$11</f>
        <v>334289.97615335899</v>
      </c>
      <c r="O17" s="123">
        <f>('OUTPUT | BLINE | HR PER PT'!O17-'OUTPUT | FCAST | HR PER PT'!O17)*'INPUT | SEGMENTATION'!$F$11</f>
        <v>114604.02732269921</v>
      </c>
      <c r="P17" s="123">
        <f>('OUTPUT | BLINE | HR PER PT'!P17-'OUTPUT | FCAST | HR PER PT'!P17)*'INPUT | SEGMENTATION'!$F$11</f>
        <v>89218.500577562852</v>
      </c>
      <c r="Q17" s="123">
        <f>('OUTPUT | BLINE | HR PER PT'!Q17-'OUTPUT | FCAST | HR PER PT'!Q17)*'INPUT | SEGMENTATION'!$F$11</f>
        <v>96152.777916684892</v>
      </c>
      <c r="R17" s="160">
        <f>('OUTPUT | BLINE | HR PER PT'!R17-'OUTPUT | FCAST | HR PER PT'!R17)*'INPUT | SEGMENTATION'!$F$11</f>
        <v>2776163.8080679271</v>
      </c>
    </row>
    <row r="18" spans="2:18" x14ac:dyDescent="0.25">
      <c r="B18" s="2" t="s">
        <v>40</v>
      </c>
      <c r="C18" s="127">
        <f>('OUTPUT | BLINE | HR PER PT'!C18-'OUTPUT | FCAST | HR PER PT'!C18)*'INPUT | SEGMENTATION'!$F$10</f>
        <v>1140759.0392940526</v>
      </c>
      <c r="D18" s="123">
        <f>('OUTPUT | BLINE | HR PER PT'!D18-'OUTPUT | FCAST | HR PER PT'!D18)*'INPUT | SEGMENTATION'!$F$10</f>
        <v>433469.18177805794</v>
      </c>
      <c r="E18" s="123">
        <f>('OUTPUT | BLINE | HR PER PT'!E18-'OUTPUT | FCAST | HR PER PT'!E18)*'INPUT | SEGMENTATION'!$F$10</f>
        <v>117616.4487968933</v>
      </c>
      <c r="F18" s="123">
        <f>('OUTPUT | BLINE | HR PER PT'!F18-'OUTPUT | FCAST | HR PER PT'!F18)*'INPUT | SEGMENTATION'!$F$10</f>
        <v>40709.947997481613</v>
      </c>
      <c r="G18" s="123">
        <f>('OUTPUT | BLINE | HR PER PT'!G18-'OUTPUT | FCAST | HR PER PT'!G18)*'INPUT | SEGMENTATION'!$F$10</f>
        <v>30906.353817689625</v>
      </c>
      <c r="H18" s="123">
        <f>('OUTPUT | BLINE | HR PER PT'!H18-'OUTPUT | FCAST | HR PER PT'!H18)*'INPUT | SEGMENTATION'!$F$10</f>
        <v>31159.536712844641</v>
      </c>
      <c r="I18" s="157">
        <f>('OUTPUT | BLINE | HR PER PT'!I18-'OUTPUT | FCAST | HR PER PT'!I18)*'INPUT | SEGMENTATION'!$F$10</f>
        <v>1794620.5083970199</v>
      </c>
      <c r="K18" s="2" t="s">
        <v>40</v>
      </c>
      <c r="L18" s="127">
        <f>('OUTPUT | BLINE | HR PER PT'!L18-'OUTPUT | FCAST | HR PER PT'!L18)*'INPUT | SEGMENTATION'!$F$11</f>
        <v>1760089.560581889</v>
      </c>
      <c r="M18" s="123">
        <f>('OUTPUT | BLINE | HR PER PT'!M18-'OUTPUT | FCAST | HR PER PT'!M18)*'INPUT | SEGMENTATION'!$F$11</f>
        <v>668804.32712036476</v>
      </c>
      <c r="N18" s="123">
        <f>('OUTPUT | BLINE | HR PER PT'!N18-'OUTPUT | FCAST | HR PER PT'!N18)*'INPUT | SEGMENTATION'!$F$11</f>
        <v>181471.70134039488</v>
      </c>
      <c r="O18" s="123">
        <f>('OUTPUT | BLINE | HR PER PT'!O18-'OUTPUT | FCAST | HR PER PT'!O18)*'INPUT | SEGMENTATION'!$F$11</f>
        <v>62811.822667248634</v>
      </c>
      <c r="P18" s="123">
        <f>('OUTPUT | BLINE | HR PER PT'!P18-'OUTPUT | FCAST | HR PER PT'!P18)*'INPUT | SEGMENTATION'!$F$11</f>
        <v>47685.750308697381</v>
      </c>
      <c r="Q18" s="123">
        <f>('OUTPUT | BLINE | HR PER PT'!Q18-'OUTPUT | FCAST | HR PER PT'!Q18)*'INPUT | SEGMENTATION'!$F$11</f>
        <v>48076.388958342446</v>
      </c>
      <c r="R18" s="160">
        <f>('OUTPUT | BLINE | HR PER PT'!R18-'OUTPUT | FCAST | HR PER PT'!R18)*'INPUT | SEGMENTATION'!$F$11</f>
        <v>2768939.5509769372</v>
      </c>
    </row>
    <row r="19" spans="2:18" x14ac:dyDescent="0.25">
      <c r="B19" s="2" t="s">
        <v>42</v>
      </c>
      <c r="C19" s="127">
        <f>('OUTPUT | BLINE | HR PER PT'!C19-'OUTPUT | FCAST | HR PER PT'!C19)*'INPUT | SEGMENTATION'!$F$10</f>
        <v>249248.03666767309</v>
      </c>
      <c r="D19" s="123">
        <f>('OUTPUT | BLINE | HR PER PT'!D19-'OUTPUT | FCAST | HR PER PT'!D19)*'INPUT | SEGMENTATION'!$F$10</f>
        <v>295127.95355101809</v>
      </c>
      <c r="E19" s="123">
        <f>('OUTPUT | BLINE | HR PER PT'!E19-'OUTPUT | FCAST | HR PER PT'!E19)*'INPUT | SEGMENTATION'!$F$10</f>
        <v>123806.78820725612</v>
      </c>
      <c r="F19" s="123">
        <f>('OUTPUT | BLINE | HR PER PT'!F19-'OUTPUT | FCAST | HR PER PT'!F19)*'INPUT | SEGMENTATION'!$F$10</f>
        <v>62136.236417208747</v>
      </c>
      <c r="G19" s="123">
        <f>('OUTPUT | BLINE | HR PER PT'!G19-'OUTPUT | FCAST | HR PER PT'!G19)*'INPUT | SEGMENTATION'!$F$10</f>
        <v>32900.312128508311</v>
      </c>
      <c r="H19" s="123">
        <f>('OUTPUT | BLINE | HR PER PT'!H19-'OUTPUT | FCAST | HR PER PT'!H19)*'INPUT | SEGMENTATION'!$F$10</f>
        <v>27697.365966973015</v>
      </c>
      <c r="I19" s="157">
        <f>('OUTPUT | BLINE | HR PER PT'!I19-'OUTPUT | FCAST | HR PER PT'!I19)*'INPUT | SEGMENTATION'!$F$10</f>
        <v>790916.69293863722</v>
      </c>
      <c r="K19" s="2" t="s">
        <v>42</v>
      </c>
      <c r="L19" s="127">
        <f>('OUTPUT | BLINE | HR PER PT'!L19-'OUTPUT | FCAST | HR PER PT'!L19)*'INPUT | SEGMENTATION'!$F$11</f>
        <v>384567.5135791935</v>
      </c>
      <c r="M19" s="123">
        <f>('OUTPUT | BLINE | HR PER PT'!M19-'OUTPUT | FCAST | HR PER PT'!M19)*'INPUT | SEGMENTATION'!$F$11</f>
        <v>455356.13761386549</v>
      </c>
      <c r="N19" s="123">
        <f>('OUTPUT | BLINE | HR PER PT'!N19-'OUTPUT | FCAST | HR PER PT'!N19)*'INPUT | SEGMENTATION'!$F$11</f>
        <v>191022.8435162052</v>
      </c>
      <c r="O19" s="123">
        <f>('OUTPUT | BLINE | HR PER PT'!O19-'OUTPUT | FCAST | HR PER PT'!O19)*'INPUT | SEGMENTATION'!$F$11</f>
        <v>95870.676702642624</v>
      </c>
      <c r="P19" s="123">
        <f>('OUTPUT | BLINE | HR PER PT'!P19-'OUTPUT | FCAST | HR PER PT'!P19)*'INPUT | SEGMENTATION'!$F$11</f>
        <v>50762.250328613336</v>
      </c>
      <c r="Q19" s="123">
        <f>('OUTPUT | BLINE | HR PER PT'!Q19-'OUTPUT | FCAST | HR PER PT'!Q19)*'INPUT | SEGMENTATION'!$F$11</f>
        <v>42734.567962971072</v>
      </c>
      <c r="R19" s="160">
        <f>('OUTPUT | BLINE | HR PER PT'!R19-'OUTPUT | FCAST | HR PER PT'!R19)*'INPUT | SEGMENTATION'!$F$11</f>
        <v>1220313.9897034909</v>
      </c>
    </row>
    <row r="20" spans="2:18" x14ac:dyDescent="0.25">
      <c r="B20" s="139" t="s">
        <v>30</v>
      </c>
      <c r="C20" s="158">
        <f>('OUTPUT | BLINE | HR PER PT'!C20-'OUTPUT | FCAST | HR PER PT'!C20)*'INPUT | SEGMENTATION'!$F$10</f>
        <v>4591945.8040624298</v>
      </c>
      <c r="D20" s="159">
        <f>('OUTPUT | BLINE | HR PER PT'!D20-'OUTPUT | FCAST | HR PER PT'!D20)*'INPUT | SEGMENTATION'!$F$10</f>
        <v>1940466.2945979442</v>
      </c>
      <c r="E20" s="159">
        <f>('OUTPUT | BLINE | HR PER PT'!E20-'OUTPUT | FCAST | HR PER PT'!E20)*'INPUT | SEGMENTATION'!$F$10</f>
        <v>685222.95473169826</v>
      </c>
      <c r="F20" s="159">
        <f>('OUTPUT | BLINE | HR PER PT'!F20-'OUTPUT | FCAST | HR PER PT'!F20)*'INPUT | SEGMENTATION'!$F$10</f>
        <v>267114.39563259867</v>
      </c>
      <c r="G20" s="159">
        <f>('OUTPUT | BLINE | HR PER PT'!G20-'OUTPUT | FCAST | HR PER PT'!G20)*'INPUT | SEGMENTATION'!$F$10</f>
        <v>158519.6857100855</v>
      </c>
      <c r="H20" s="159">
        <f>('OUTPUT | BLINE | HR PER PT'!H20-'OUTPUT | FCAST | HR PER PT'!H20)*'INPUT | SEGMENTATION'!$F$10</f>
        <v>166184.19580183804</v>
      </c>
      <c r="I20" s="158">
        <f>('OUTPUT | BLINE | HR PER PT'!I20-'OUTPUT | FCAST | HR PER PT'!I20)*'INPUT | SEGMENTATION'!$F$10</f>
        <v>7809453.3305365946</v>
      </c>
      <c r="K20" s="147" t="s">
        <v>30</v>
      </c>
      <c r="L20" s="161">
        <f>('OUTPUT | BLINE | HR PER PT'!L20-'OUTPUT | FCAST | HR PER PT'!L20)*'INPUT | SEGMENTATION'!$F$11</f>
        <v>7084963.2517395616</v>
      </c>
      <c r="M20" s="162">
        <f>('OUTPUT | BLINE | HR PER PT'!M20-'OUTPUT | FCAST | HR PER PT'!M20)*'INPUT | SEGMENTATION'!$F$11</f>
        <v>2993966.604811165</v>
      </c>
      <c r="N20" s="162">
        <f>('OUTPUT | BLINE | HR PER PT'!N20-'OUTPUT | FCAST | HR PER PT'!N20)*'INPUT | SEGMENTATION'!$F$11</f>
        <v>1057237.9685377665</v>
      </c>
      <c r="O20" s="162">
        <f>('OUTPUT | BLINE | HR PER PT'!O20-'OUTPUT | FCAST | HR PER PT'!O20)*'INPUT | SEGMENTATION'!$F$11</f>
        <v>412133.71364124527</v>
      </c>
      <c r="P20" s="162">
        <f>('OUTPUT | BLINE | HR PER PT'!P20-'OUTPUT | FCAST | HR PER PT'!P20)*'INPUT | SEGMENTATION'!$F$11</f>
        <v>244581.75158331887</v>
      </c>
      <c r="Q20" s="162">
        <f>('OUTPUT | BLINE | HR PER PT'!Q20-'OUTPUT | FCAST | HR PER PT'!Q20)*'INPUT | SEGMENTATION'!$F$11</f>
        <v>256407.40777782648</v>
      </c>
      <c r="R20" s="161">
        <f>('OUTPUT | BLINE | HR PER PT'!R20-'OUTPUT | FCAST | HR PER PT'!R20)*'INPUT | SEGMENTATION'!$F$11</f>
        <v>12049290.698090881</v>
      </c>
    </row>
    <row r="22" spans="2:18" x14ac:dyDescent="0.25">
      <c r="B22" s="203" t="s">
        <v>30</v>
      </c>
      <c r="C22" s="203"/>
      <c r="D22" s="203"/>
      <c r="E22" s="203"/>
      <c r="F22" s="203"/>
      <c r="G22" s="203"/>
      <c r="H22" s="203"/>
      <c r="I22" s="203"/>
    </row>
    <row r="23" spans="2:18" x14ac:dyDescent="0.25">
      <c r="B23" s="106"/>
      <c r="C23" s="106"/>
      <c r="D23" s="106"/>
      <c r="E23" s="106"/>
      <c r="F23" s="106"/>
      <c r="G23" s="106"/>
      <c r="H23" s="106"/>
      <c r="I23" s="106"/>
    </row>
    <row r="24" spans="2:18" x14ac:dyDescent="0.25">
      <c r="B24" s="106"/>
      <c r="C24" s="204" t="s">
        <v>0</v>
      </c>
      <c r="D24" s="203"/>
      <c r="E24" s="203"/>
      <c r="F24" s="203"/>
      <c r="G24" s="203"/>
      <c r="H24" s="203"/>
      <c r="I24" s="203"/>
    </row>
    <row r="25" spans="2:18" x14ac:dyDescent="0.25">
      <c r="B25" s="163" t="s">
        <v>29</v>
      </c>
      <c r="C25" s="164" t="s">
        <v>45</v>
      </c>
      <c r="D25" s="165" t="s">
        <v>21</v>
      </c>
      <c r="E25" s="165" t="s">
        <v>22</v>
      </c>
      <c r="F25" s="165" t="s">
        <v>23</v>
      </c>
      <c r="G25" s="165" t="s">
        <v>24</v>
      </c>
      <c r="H25" s="165" t="s">
        <v>25</v>
      </c>
      <c r="I25" s="166" t="s">
        <v>30</v>
      </c>
    </row>
    <row r="26" spans="2:18" x14ac:dyDescent="0.25">
      <c r="B26" s="167" t="s">
        <v>41</v>
      </c>
      <c r="C26" s="168">
        <f t="shared" ref="C26:I30" si="0">C6+L6+C16+L16</f>
        <v>7101903.261568727</v>
      </c>
      <c r="D26" s="169">
        <f t="shared" si="0"/>
        <v>2290408.6330185053</v>
      </c>
      <c r="E26" s="169">
        <f t="shared" si="0"/>
        <v>705102.2576701917</v>
      </c>
      <c r="F26" s="169">
        <f t="shared" si="0"/>
        <v>279356.54700866819</v>
      </c>
      <c r="G26" s="169">
        <f t="shared" si="0"/>
        <v>114511.84690506067</v>
      </c>
      <c r="H26" s="169">
        <f t="shared" si="0"/>
        <v>139718.67281145212</v>
      </c>
      <c r="I26" s="173">
        <f t="shared" si="0"/>
        <v>10631001.218982607</v>
      </c>
    </row>
    <row r="27" spans="2:18" x14ac:dyDescent="0.25">
      <c r="B27" s="167" t="s">
        <v>39</v>
      </c>
      <c r="C27" s="168">
        <f t="shared" si="0"/>
        <v>2837850.688536684</v>
      </c>
      <c r="D27" s="169">
        <f t="shared" si="0"/>
        <v>1471587.5467143897</v>
      </c>
      <c r="E27" s="169">
        <f t="shared" si="0"/>
        <v>672581.81811307557</v>
      </c>
      <c r="F27" s="169">
        <f t="shared" si="0"/>
        <v>230580.00705477365</v>
      </c>
      <c r="G27" s="169">
        <f t="shared" si="0"/>
        <v>179505.05731063563</v>
      </c>
      <c r="H27" s="169">
        <f t="shared" si="0"/>
        <v>193456.62389277987</v>
      </c>
      <c r="I27" s="173">
        <f t="shared" si="0"/>
        <v>5585561.7416223399</v>
      </c>
    </row>
    <row r="28" spans="2:18" x14ac:dyDescent="0.25">
      <c r="B28" s="167" t="s">
        <v>40</v>
      </c>
      <c r="C28" s="168">
        <f t="shared" si="0"/>
        <v>3541249.5771483402</v>
      </c>
      <c r="D28" s="169">
        <f t="shared" si="0"/>
        <v>1345615.0718983719</v>
      </c>
      <c r="E28" s="169">
        <f t="shared" si="0"/>
        <v>365115.84411852679</v>
      </c>
      <c r="F28" s="169">
        <f t="shared" si="0"/>
        <v>126375.58078963561</v>
      </c>
      <c r="G28" s="169">
        <f t="shared" si="0"/>
        <v>95942.358217753514</v>
      </c>
      <c r="H28" s="169">
        <f t="shared" si="0"/>
        <v>96728.311946389935</v>
      </c>
      <c r="I28" s="173">
        <f t="shared" si="0"/>
        <v>5571026.7441190183</v>
      </c>
    </row>
    <row r="29" spans="2:18" x14ac:dyDescent="0.25">
      <c r="B29" s="167" t="s">
        <v>42</v>
      </c>
      <c r="C29" s="168">
        <f t="shared" si="0"/>
        <v>773738.77747282223</v>
      </c>
      <c r="D29" s="169">
        <f t="shared" si="0"/>
        <v>916163.45320740202</v>
      </c>
      <c r="E29" s="169">
        <f t="shared" si="0"/>
        <v>384332.46749318624</v>
      </c>
      <c r="F29" s="169">
        <f t="shared" si="0"/>
        <v>192889.04436312799</v>
      </c>
      <c r="G29" s="169">
        <f t="shared" si="0"/>
        <v>102132.18778018921</v>
      </c>
      <c r="H29" s="169">
        <f t="shared" si="0"/>
        <v>85980.721730124409</v>
      </c>
      <c r="I29" s="173">
        <f t="shared" si="0"/>
        <v>2455236.6520468513</v>
      </c>
    </row>
    <row r="30" spans="2:18" x14ac:dyDescent="0.25">
      <c r="B30" s="170" t="s">
        <v>30</v>
      </c>
      <c r="C30" s="171">
        <f t="shared" si="0"/>
        <v>14254742.304726573</v>
      </c>
      <c r="D30" s="172">
        <f t="shared" si="0"/>
        <v>6023774.7048386689</v>
      </c>
      <c r="E30" s="172">
        <f t="shared" si="0"/>
        <v>2127132.3873949805</v>
      </c>
      <c r="F30" s="172">
        <f t="shared" si="0"/>
        <v>829201.17921620561</v>
      </c>
      <c r="G30" s="172">
        <f t="shared" si="0"/>
        <v>492091.45021363901</v>
      </c>
      <c r="H30" s="172">
        <f t="shared" si="0"/>
        <v>515884.33038074634</v>
      </c>
      <c r="I30" s="171">
        <f t="shared" si="0"/>
        <v>24242826.35677081</v>
      </c>
    </row>
  </sheetData>
  <mergeCells count="10">
    <mergeCell ref="C14:I14"/>
    <mergeCell ref="L14:R14"/>
    <mergeCell ref="B22:I22"/>
    <mergeCell ref="C24:I24"/>
    <mergeCell ref="B2:I2"/>
    <mergeCell ref="K2:R2"/>
    <mergeCell ref="C4:I4"/>
    <mergeCell ref="L4:R4"/>
    <mergeCell ref="B12:I12"/>
    <mergeCell ref="K12:R12"/>
  </mergeCells>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B47EF-C421-41D5-BDD0-8377B8E536E9}">
  <sheetPr>
    <tabColor rgb="FFFFFF00"/>
  </sheetPr>
  <dimension ref="B2:R32"/>
  <sheetViews>
    <sheetView workbookViewId="0"/>
  </sheetViews>
  <sheetFormatPr defaultRowHeight="15" x14ac:dyDescent="0.25"/>
  <cols>
    <col min="1" max="1" width="2.7109375" style="2" customWidth="1"/>
    <col min="2" max="2" width="39.42578125" style="2" bestFit="1" customWidth="1"/>
    <col min="3" max="9" width="9.140625" style="2"/>
    <col min="10" max="10" width="2.7109375" style="2" customWidth="1"/>
    <col min="11" max="11" width="39.42578125" style="2" bestFit="1" customWidth="1"/>
    <col min="12" max="18" width="9.140625" style="2"/>
    <col min="19" max="19" width="2.7109375" style="2" customWidth="1"/>
    <col min="20" max="20" width="39.42578125" style="2" bestFit="1" customWidth="1"/>
    <col min="21" max="16384" width="9.140625" style="2"/>
  </cols>
  <sheetData>
    <row r="2" spans="2:18" x14ac:dyDescent="0.25">
      <c r="B2" s="195" t="s">
        <v>46</v>
      </c>
      <c r="C2" s="195"/>
      <c r="D2" s="195"/>
      <c r="E2" s="195"/>
      <c r="F2" s="195"/>
      <c r="G2" s="195"/>
      <c r="H2" s="195"/>
      <c r="I2" s="195"/>
      <c r="K2" s="196" t="s">
        <v>47</v>
      </c>
      <c r="L2" s="196"/>
      <c r="M2" s="196"/>
      <c r="N2" s="196"/>
      <c r="O2" s="196"/>
      <c r="P2" s="196"/>
      <c r="Q2" s="196"/>
      <c r="R2" s="196"/>
    </row>
    <row r="4" spans="2:18" x14ac:dyDescent="0.25">
      <c r="C4" s="198" t="s">
        <v>56</v>
      </c>
      <c r="D4" s="195"/>
      <c r="E4" s="195"/>
      <c r="F4" s="195"/>
      <c r="G4" s="195"/>
      <c r="H4" s="195"/>
      <c r="I4" s="195"/>
      <c r="L4" s="199" t="s">
        <v>56</v>
      </c>
      <c r="M4" s="196"/>
      <c r="N4" s="196"/>
      <c r="O4" s="196"/>
      <c r="P4" s="196"/>
      <c r="Q4" s="196"/>
      <c r="R4" s="196"/>
    </row>
    <row r="5" spans="2:18" x14ac:dyDescent="0.25">
      <c r="B5" s="83" t="s">
        <v>29</v>
      </c>
      <c r="C5" s="85" t="s">
        <v>45</v>
      </c>
      <c r="D5" s="84" t="s">
        <v>21</v>
      </c>
      <c r="E5" s="84" t="s">
        <v>22</v>
      </c>
      <c r="F5" s="84" t="s">
        <v>23</v>
      </c>
      <c r="G5" s="84" t="s">
        <v>24</v>
      </c>
      <c r="H5" s="84" t="s">
        <v>25</v>
      </c>
      <c r="I5" s="87" t="s">
        <v>30</v>
      </c>
      <c r="K5" s="89" t="s">
        <v>29</v>
      </c>
      <c r="L5" s="90" t="s">
        <v>45</v>
      </c>
      <c r="M5" s="91" t="s">
        <v>21</v>
      </c>
      <c r="N5" s="91" t="s">
        <v>22</v>
      </c>
      <c r="O5" s="91" t="s">
        <v>23</v>
      </c>
      <c r="P5" s="91" t="s">
        <v>24</v>
      </c>
      <c r="Q5" s="91" t="s">
        <v>25</v>
      </c>
      <c r="R5" s="95" t="s">
        <v>30</v>
      </c>
    </row>
    <row r="6" spans="2:18" x14ac:dyDescent="0.25">
      <c r="B6" s="104" t="s">
        <v>41</v>
      </c>
      <c r="C6" s="133">
        <f>'OUTPUT | DIFF | ADD HOURS'!C6/'CALC | FCAST | HOURS'!L$30</f>
        <v>132.7440765725996</v>
      </c>
      <c r="D6" s="134">
        <f>'OUTPUT | DIFF | ADD HOURS'!D6/'CALC | FCAST | HOURS'!M$30</f>
        <v>42.810802649090675</v>
      </c>
      <c r="E6" s="134">
        <f>'OUTPUT | DIFF | ADD HOURS'!E6/'CALC | FCAST | HOURS'!N$30</f>
        <v>13.179304847783921</v>
      </c>
      <c r="F6" s="134">
        <f>'OUTPUT | DIFF | ADD HOURS'!F6/'CALC | FCAST | HOURS'!O$30</f>
        <v>5.2215477318378314</v>
      </c>
      <c r="G6" s="134">
        <f>'OUTPUT | DIFF | ADD HOURS'!G6/'CALC | FCAST | HOURS'!P$30</f>
        <v>2.1403796720651971</v>
      </c>
      <c r="H6" s="134">
        <f>'OUTPUT | DIFF | ADD HOURS'!H6/'CALC | FCAST | HOURS'!Q$30</f>
        <v>2.6115289830361261</v>
      </c>
      <c r="I6" s="137">
        <f>SUM(C6:H6)</f>
        <v>198.70764045641334</v>
      </c>
      <c r="K6" s="104" t="s">
        <v>41</v>
      </c>
      <c r="L6" s="133">
        <f>'OUTPUT | DIFF | ADD HOURS'!L6/'CALC | FCAST | HOURS'!L$30</f>
        <v>645.62622706109971</v>
      </c>
      <c r="M6" s="134">
        <f>'OUTPUT | DIFF | ADD HOURS'!M6/'CALC | FCAST | HOURS'!M$30</f>
        <v>208.21853377896767</v>
      </c>
      <c r="N6" s="134">
        <f>'OUTPUT | DIFF | ADD HOURS'!N6/'CALC | FCAST | HOURS'!N$30</f>
        <v>64.100071987085059</v>
      </c>
      <c r="O6" s="134">
        <f>'OUTPUT | DIFF | ADD HOURS'!O6/'CALC | FCAST | HOURS'!O$30</f>
        <v>25.395996933107178</v>
      </c>
      <c r="P6" s="134">
        <f>'OUTPUT | DIFF | ADD HOURS'!P6/'CALC | FCAST | HOURS'!P$30</f>
        <v>10.41014625912856</v>
      </c>
      <c r="Q6" s="134">
        <f>'OUTPUT | DIFF | ADD HOURS'!Q6/'CALC | FCAST | HOURS'!Q$30</f>
        <v>12.701671123202066</v>
      </c>
      <c r="R6" s="143">
        <f>SUM(L6:Q6)</f>
        <v>966.45264714259019</v>
      </c>
    </row>
    <row r="7" spans="2:18" x14ac:dyDescent="0.25">
      <c r="B7" s="2" t="s">
        <v>39</v>
      </c>
      <c r="C7" s="133">
        <f>'OUTPUT | DIFF | ADD HOURS'!C7/'CALC | FCAST | HOURS'!L$30</f>
        <v>53.043227318969336</v>
      </c>
      <c r="D7" s="134">
        <f>'OUTPUT | DIFF | ADD HOURS'!D7/'CALC | FCAST | HOURS'!M$30</f>
        <v>27.505940702040789</v>
      </c>
      <c r="E7" s="134">
        <f>'OUTPUT | DIFF | ADD HOURS'!E7/'CALC | FCAST | HOURS'!N$30</f>
        <v>12.571454309730953</v>
      </c>
      <c r="F7" s="134">
        <f>'OUTPUT | DIFF | ADD HOURS'!F7/'CALC | FCAST | HOURS'!O$30</f>
        <v>4.3098489215169131</v>
      </c>
      <c r="G7" s="134">
        <f>'OUTPUT | DIFF | ADD HOURS'!G7/'CALC | FCAST | HOURS'!P$30</f>
        <v>3.3551897562103075</v>
      </c>
      <c r="H7" s="134">
        <f>'OUTPUT | DIFF | ADD HOURS'!H7/'CALC | FCAST | HOURS'!Q$30</f>
        <v>3.6159632072807795</v>
      </c>
      <c r="I7" s="137">
        <f t="shared" ref="I7:I10" si="0">SUM(C7:H7)</f>
        <v>104.4016242157491</v>
      </c>
      <c r="K7" s="2" t="s">
        <v>39</v>
      </c>
      <c r="L7" s="133">
        <f>'OUTPUT | DIFF | ADD HOURS'!L7/'CALC | FCAST | HOURS'!L$30</f>
        <v>257.98588991171022</v>
      </c>
      <c r="M7" s="134">
        <f>'OUTPUT | DIFF | ADD HOURS'!M7/'CALC | FCAST | HOURS'!M$30</f>
        <v>133.78040795298679</v>
      </c>
      <c r="N7" s="134">
        <f>'OUTPUT | DIFF | ADD HOURS'!N7/'CALC | FCAST | HOURS'!N$30</f>
        <v>61.143674536946911</v>
      </c>
      <c r="O7" s="134">
        <f>'OUTPUT | DIFF | ADD HOURS'!O7/'CALC | FCAST | HOURS'!O$30</f>
        <v>20.961775246374177</v>
      </c>
      <c r="P7" s="134">
        <f>'OUTPUT | DIFF | ADD HOURS'!P7/'CALC | FCAST | HOURS'!P$30</f>
        <v>16.318607649444758</v>
      </c>
      <c r="Q7" s="134">
        <f>'OUTPUT | DIFF | ADD HOURS'!Q7/'CALC | FCAST | HOURS'!Q$30</f>
        <v>17.586929247510557</v>
      </c>
      <c r="R7" s="143">
        <f t="shared" ref="R7:R10" si="1">SUM(L7:Q7)</f>
        <v>507.77728454497338</v>
      </c>
    </row>
    <row r="8" spans="2:18" x14ac:dyDescent="0.25">
      <c r="B8" s="2" t="s">
        <v>40</v>
      </c>
      <c r="C8" s="133">
        <f>'OUTPUT | DIFF | ADD HOURS'!C8/'CALC | FCAST | HOURS'!L$30</f>
        <v>66.190693919397717</v>
      </c>
      <c r="D8" s="134">
        <f>'OUTPUT | DIFF | ADD HOURS'!D8/'CALC | FCAST | HOURS'!M$30</f>
        <v>25.151346556340776</v>
      </c>
      <c r="E8" s="134">
        <f>'OUTPUT | DIFF | ADD HOURS'!E8/'CALC | FCAST | HOURS'!N$30</f>
        <v>6.8245037681396656</v>
      </c>
      <c r="F8" s="134">
        <f>'OUTPUT | DIFF | ADD HOURS'!F8/'CALC | FCAST | HOURS'!O$30</f>
        <v>2.3621287358313934</v>
      </c>
      <c r="G8" s="134">
        <f>'OUTPUT | DIFF | ADD HOURS'!G8/'CALC | FCAST | HOURS'!P$30</f>
        <v>1.7932910765951646</v>
      </c>
      <c r="H8" s="134">
        <f>'OUTPUT | DIFF | ADD HOURS'!H8/'CALC | FCAST | HOURS'!Q$30</f>
        <v>1.8079816036403897</v>
      </c>
      <c r="I8" s="137">
        <f t="shared" si="0"/>
        <v>104.12994565994509</v>
      </c>
      <c r="K8" s="2" t="s">
        <v>40</v>
      </c>
      <c r="L8" s="133">
        <f>'OUTPUT | DIFF | ADD HOURS'!L8/'CALC | FCAST | HOURS'!L$30</f>
        <v>321.93111048811659</v>
      </c>
      <c r="M8" s="134">
        <f>'OUTPUT | DIFF | ADD HOURS'!M8/'CALC | FCAST | HOURS'!M$30</f>
        <v>122.32838859514355</v>
      </c>
      <c r="N8" s="134">
        <f>'OUTPUT | DIFF | ADD HOURS'!N8/'CALC | FCAST | HOURS'!N$30</f>
        <v>33.19228046291402</v>
      </c>
      <c r="O8" s="134">
        <f>'OUTPUT | DIFF | ADD HOURS'!O8/'CALC | FCAST | HOURS'!O$30</f>
        <v>11.488665279262769</v>
      </c>
      <c r="P8" s="134">
        <f>'OUTPUT | DIFF | ADD HOURS'!P8/'CALC | FCAST | HOURS'!P$30</f>
        <v>8.7220144333239311</v>
      </c>
      <c r="Q8" s="134">
        <f>'OUTPUT | DIFF | ADD HOURS'!Q8/'CALC | FCAST | HOURS'!Q$30</f>
        <v>8.7934646237552787</v>
      </c>
      <c r="R8" s="143">
        <f t="shared" si="1"/>
        <v>506.45592388251612</v>
      </c>
    </row>
    <row r="9" spans="2:18" x14ac:dyDescent="0.25">
      <c r="B9" s="2" t="s">
        <v>42</v>
      </c>
      <c r="C9" s="133">
        <f>'OUTPUT | DIFF | ADD HOURS'!C9/'CALC | FCAST | HOURS'!L$30</f>
        <v>14.46221326047112</v>
      </c>
      <c r="D9" s="134">
        <f>'OUTPUT | DIFF | ADD HOURS'!D9/'CALC | FCAST | HOURS'!M$30</f>
        <v>17.124321059636252</v>
      </c>
      <c r="E9" s="134">
        <f>'OUTPUT | DIFF | ADD HOURS'!E9/'CALC | FCAST | HOURS'!N$30</f>
        <v>7.1836881769891257</v>
      </c>
      <c r="F9" s="134">
        <f>'OUTPUT | DIFF | ADD HOURS'!F9/'CALC | FCAST | HOURS'!O$30</f>
        <v>3.6053543862689676</v>
      </c>
      <c r="G9" s="134">
        <f>'OUTPUT | DIFF | ADD HOURS'!G9/'CALC | FCAST | HOURS'!P$30</f>
        <v>1.9089872750851753</v>
      </c>
      <c r="H9" s="134">
        <f>'OUTPUT | DIFF | ADD HOURS'!H9/'CALC | FCAST | HOURS'!Q$30</f>
        <v>1.6070947587914544</v>
      </c>
      <c r="I9" s="137">
        <f t="shared" si="0"/>
        <v>45.891658917242097</v>
      </c>
      <c r="K9" s="2" t="s">
        <v>42</v>
      </c>
      <c r="L9" s="133">
        <f>'OUTPUT | DIFF | ADD HOURS'!L9/'CALC | FCAST | HOURS'!L$30</f>
        <v>70.33974263404744</v>
      </c>
      <c r="M9" s="134">
        <f>'OUTPUT | DIFF | ADD HOURS'!M9/'CALC | FCAST | HOURS'!M$30</f>
        <v>83.28741351158709</v>
      </c>
      <c r="N9" s="134">
        <f>'OUTPUT | DIFF | ADD HOURS'!N9/'CALC | FCAST | HOURS'!N$30</f>
        <v>34.939242592541127</v>
      </c>
      <c r="O9" s="134">
        <f>'OUTPUT | DIFF | ADD HOURS'!O9/'CALC | FCAST | HOURS'!O$30</f>
        <v>17.535331215716862</v>
      </c>
      <c r="P9" s="134">
        <f>'OUTPUT | DIFF | ADD HOURS'!P9/'CALC | FCAST | HOURS'!P$30</f>
        <v>9.2847250419254745</v>
      </c>
      <c r="Q9" s="134">
        <f>'OUTPUT | DIFF | ADD HOURS'!Q9/'CALC | FCAST | HOURS'!Q$30</f>
        <v>7.8164129988935844</v>
      </c>
      <c r="R9" s="143">
        <f t="shared" si="1"/>
        <v>223.20286799471157</v>
      </c>
    </row>
    <row r="10" spans="2:18" x14ac:dyDescent="0.25">
      <c r="B10" s="138" t="s">
        <v>30</v>
      </c>
      <c r="C10" s="135">
        <f>'OUTPUT | DIFF | ADD HOURS'!C10/'CALC | FCAST | HOURS'!L$30</f>
        <v>266.44021107143863</v>
      </c>
      <c r="D10" s="136">
        <f>'OUTPUT | DIFF | ADD HOURS'!D10/'CALC | FCAST | HOURS'!M$30</f>
        <v>112.59241096710859</v>
      </c>
      <c r="E10" s="136">
        <f>'OUTPUT | DIFF | ADD HOURS'!E10/'CALC | FCAST | HOURS'!N$30</f>
        <v>39.758951102643714</v>
      </c>
      <c r="F10" s="136">
        <f>'OUTPUT | DIFF | ADD HOURS'!F10/'CALC | FCAST | HOURS'!O$30</f>
        <v>15.49887977545513</v>
      </c>
      <c r="G10" s="136">
        <f>'OUTPUT | DIFF | ADD HOURS'!G10/'CALC | FCAST | HOURS'!P$30</f>
        <v>9.1978477799558256</v>
      </c>
      <c r="H10" s="136">
        <f>'OUTPUT | DIFF | ADD HOURS'!H10/'CALC | FCAST | HOURS'!Q$30</f>
        <v>9.642568552748715</v>
      </c>
      <c r="I10" s="135">
        <f t="shared" si="0"/>
        <v>453.13086924935067</v>
      </c>
      <c r="K10" s="145" t="s">
        <v>30</v>
      </c>
      <c r="L10" s="144">
        <f>'OUTPUT | DIFF | ADD HOURS'!L10/'CALC | FCAST | HOURS'!L$30</f>
        <v>1295.8829700949746</v>
      </c>
      <c r="M10" s="146">
        <f>'OUTPUT | DIFF | ADD HOURS'!M10/'CALC | FCAST | HOURS'!M$30</f>
        <v>547.61474383868529</v>
      </c>
      <c r="N10" s="146">
        <f>'OUTPUT | DIFF | ADD HOURS'!N10/'CALC | FCAST | HOURS'!N$30</f>
        <v>193.37526957948705</v>
      </c>
      <c r="O10" s="146">
        <f>'OUTPUT | DIFF | ADD HOURS'!O10/'CALC | FCAST | HOURS'!O$30</f>
        <v>75.381768674461</v>
      </c>
      <c r="P10" s="146">
        <f>'OUTPUT | DIFF | ADD HOURS'!P10/'CALC | FCAST | HOURS'!P$30</f>
        <v>44.735493383822735</v>
      </c>
      <c r="Q10" s="146">
        <f>'OUTPUT | DIFF | ADD HOURS'!Q10/'CALC | FCAST | HOURS'!Q$30</f>
        <v>46.898477993361489</v>
      </c>
      <c r="R10" s="144">
        <f t="shared" si="1"/>
        <v>2203.8887235647921</v>
      </c>
    </row>
    <row r="12" spans="2:18" x14ac:dyDescent="0.25">
      <c r="B12" s="184" t="s">
        <v>48</v>
      </c>
      <c r="C12" s="184"/>
      <c r="D12" s="184"/>
      <c r="E12" s="184"/>
      <c r="F12" s="184"/>
      <c r="G12" s="184"/>
      <c r="H12" s="184"/>
      <c r="I12" s="184"/>
      <c r="K12" s="192" t="s">
        <v>49</v>
      </c>
      <c r="L12" s="192"/>
      <c r="M12" s="192"/>
      <c r="N12" s="192"/>
      <c r="O12" s="192"/>
      <c r="P12" s="192"/>
      <c r="Q12" s="192"/>
      <c r="R12" s="192"/>
    </row>
    <row r="14" spans="2:18" x14ac:dyDescent="0.25">
      <c r="C14" s="193" t="s">
        <v>56</v>
      </c>
      <c r="D14" s="184"/>
      <c r="E14" s="184"/>
      <c r="F14" s="184"/>
      <c r="G14" s="184"/>
      <c r="H14" s="184"/>
      <c r="I14" s="184"/>
      <c r="L14" s="194" t="s">
        <v>56</v>
      </c>
      <c r="M14" s="192"/>
      <c r="N14" s="192"/>
      <c r="O14" s="192"/>
      <c r="P14" s="192"/>
      <c r="Q14" s="192"/>
      <c r="R14" s="192"/>
    </row>
    <row r="15" spans="2:18" x14ac:dyDescent="0.25">
      <c r="B15" s="100" t="s">
        <v>29</v>
      </c>
      <c r="C15" s="101" t="s">
        <v>45</v>
      </c>
      <c r="D15" s="102" t="s">
        <v>21</v>
      </c>
      <c r="E15" s="102" t="s">
        <v>22</v>
      </c>
      <c r="F15" s="102" t="s">
        <v>23</v>
      </c>
      <c r="G15" s="102" t="s">
        <v>24</v>
      </c>
      <c r="H15" s="102" t="s">
        <v>25</v>
      </c>
      <c r="I15" s="103" t="s">
        <v>30</v>
      </c>
      <c r="K15" s="96" t="s">
        <v>29</v>
      </c>
      <c r="L15" s="97" t="s">
        <v>45</v>
      </c>
      <c r="M15" s="98" t="s">
        <v>21</v>
      </c>
      <c r="N15" s="98" t="s">
        <v>22</v>
      </c>
      <c r="O15" s="98" t="s">
        <v>23</v>
      </c>
      <c r="P15" s="98" t="s">
        <v>24</v>
      </c>
      <c r="Q15" s="98" t="s">
        <v>25</v>
      </c>
      <c r="R15" s="99" t="s">
        <v>30</v>
      </c>
    </row>
    <row r="16" spans="2:18" x14ac:dyDescent="0.25">
      <c r="B16" s="104" t="s">
        <v>41</v>
      </c>
      <c r="C16" s="133">
        <f>'OUTPUT | DIFF | ADD HOURS'!C16/'CALC | FCAST | HOURS'!L$30</f>
        <v>1386.5265533636314</v>
      </c>
      <c r="D16" s="134">
        <f>'OUTPUT | DIFF | ADD HOURS'!D16/'CALC | FCAST | HOURS'!M$30</f>
        <v>447.16356598639112</v>
      </c>
      <c r="E16" s="134">
        <f>'OUTPUT | DIFF | ADD HOURS'!E16/'CALC | FCAST | HOURS'!N$30</f>
        <v>137.6592959786974</v>
      </c>
      <c r="F16" s="134">
        <f>'OUTPUT | DIFF | ADD HOURS'!F16/'CALC | FCAST | HOURS'!O$30</f>
        <v>54.539643250214588</v>
      </c>
      <c r="G16" s="134">
        <f>'OUTPUT | DIFF | ADD HOURS'!G16/'CALC | FCAST | HOURS'!P$30</f>
        <v>22.356502272815568</v>
      </c>
      <c r="H16" s="134">
        <f>'OUTPUT | DIFF | ADD HOURS'!H16/'CALC | FCAST | HOURS'!Q$30</f>
        <v>27.277708906867346</v>
      </c>
      <c r="I16" s="142">
        <f>SUM(C16:H16)</f>
        <v>2075.5232697586175</v>
      </c>
      <c r="K16" s="104" t="s">
        <v>41</v>
      </c>
      <c r="L16" s="133">
        <f>'OUTPUT | DIFF | ADD HOURS'!L16/'CALC | FCAST | HOURS'!L$30</f>
        <v>2139.2869378928071</v>
      </c>
      <c r="M16" s="134">
        <f>'OUTPUT | DIFF | ADD HOURS'!M16/'CALC | FCAST | HOURS'!M$30</f>
        <v>689.93354183919007</v>
      </c>
      <c r="N16" s="134">
        <f>'OUTPUT | DIFF | ADD HOURS'!N16/'CALC | FCAST | HOURS'!N$30</f>
        <v>212.39602880473163</v>
      </c>
      <c r="O16" s="134">
        <f>'OUTPUT | DIFF | ADD HOURS'!O16/'CALC | FCAST | HOURS'!O$30</f>
        <v>84.149810271912017</v>
      </c>
      <c r="P16" s="134">
        <f>'OUTPUT | DIFF | ADD HOURS'!P16/'CALC | FCAST | HOURS'!P$30</f>
        <v>34.494091132391077</v>
      </c>
      <c r="Q16" s="134">
        <f>'OUTPUT | DIFF | ADD HOURS'!Q16/'CALC | FCAST | HOURS'!Q$30</f>
        <v>42.08707450898666</v>
      </c>
      <c r="R16" s="150">
        <f>SUM(L16:Q16)</f>
        <v>3202.3474844500183</v>
      </c>
    </row>
    <row r="17" spans="2:18" x14ac:dyDescent="0.25">
      <c r="B17" s="2" t="s">
        <v>39</v>
      </c>
      <c r="C17" s="133">
        <f>'OUTPUT | DIFF | ADD HOURS'!C17/'CALC | FCAST | HOURS'!L$30</f>
        <v>554.04237275800836</v>
      </c>
      <c r="D17" s="134">
        <f>'OUTPUT | DIFF | ADD HOURS'!D17/'CALC | FCAST | HOURS'!M$30</f>
        <v>287.30259114625625</v>
      </c>
      <c r="E17" s="134">
        <f>'OUTPUT | DIFF | ADD HOURS'!E17/'CALC | FCAST | HOURS'!N$30</f>
        <v>131.31022991678671</v>
      </c>
      <c r="F17" s="134">
        <f>'OUTPUT | DIFF | ADD HOURS'!F17/'CALC | FCAST | HOURS'!O$30</f>
        <v>45.016848397002505</v>
      </c>
      <c r="G17" s="134">
        <f>'OUTPUT | DIFF | ADD HOURS'!G17/'CALC | FCAST | HOURS'!P$30</f>
        <v>35.045327887116308</v>
      </c>
      <c r="H17" s="134">
        <f>'OUTPUT | DIFF | ADD HOURS'!H17/'CALC | FCAST | HOURS'!Q$30</f>
        <v>37.769135409508657</v>
      </c>
      <c r="I17" s="142">
        <f t="shared" ref="I17:I20" si="2">SUM(C17:H17)</f>
        <v>1090.4865055146788</v>
      </c>
      <c r="K17" s="2" t="s">
        <v>39</v>
      </c>
      <c r="L17" s="133">
        <f>'OUTPUT | DIFF | ADD HOURS'!L17/'CALC | FCAST | HOURS'!L$30</f>
        <v>854.83801821536315</v>
      </c>
      <c r="M17" s="134">
        <f>'OUTPUT | DIFF | ADD HOURS'!M17/'CALC | FCAST | HOURS'!M$30</f>
        <v>443.28230063167973</v>
      </c>
      <c r="N17" s="134">
        <f>'OUTPUT | DIFF | ADD HOURS'!N17/'CALC | FCAST | HOURS'!N$30</f>
        <v>202.59998554749029</v>
      </c>
      <c r="O17" s="134">
        <f>'OUTPUT | DIFF | ADD HOURS'!O17/'CALC | FCAST | HOURS'!O$30</f>
        <v>69.456986256181338</v>
      </c>
      <c r="P17" s="134">
        <f>'OUTPUT | DIFF | ADD HOURS'!P17/'CALC | FCAST | HOURS'!P$30</f>
        <v>54.071818531856273</v>
      </c>
      <c r="Q17" s="134">
        <f>'OUTPUT | DIFF | ADD HOURS'!Q17/'CALC | FCAST | HOURS'!Q$30</f>
        <v>58.274410858596902</v>
      </c>
      <c r="R17" s="150">
        <f t="shared" ref="R17:R20" si="3">SUM(L17:Q17)</f>
        <v>1682.5235200411678</v>
      </c>
    </row>
    <row r="18" spans="2:18" x14ac:dyDescent="0.25">
      <c r="B18" s="2" t="s">
        <v>40</v>
      </c>
      <c r="C18" s="133">
        <f>'OUTPUT | DIFF | ADD HOURS'!C18/'CALC | FCAST | HOURS'!L$30</f>
        <v>691.3691147236683</v>
      </c>
      <c r="D18" s="134">
        <f>'OUTPUT | DIFF | ADD HOURS'!D18/'CALC | FCAST | HOURS'!M$30</f>
        <v>262.70859501700482</v>
      </c>
      <c r="E18" s="134">
        <f>'OUTPUT | DIFF | ADD HOURS'!E18/'CALC | FCAST | HOURS'!N$30</f>
        <v>71.282696240541398</v>
      </c>
      <c r="F18" s="134">
        <f>'OUTPUT | DIFF | ADD HOURS'!F18/'CALC | FCAST | HOURS'!O$30</f>
        <v>24.672695756049464</v>
      </c>
      <c r="G18" s="134">
        <f>'OUTPUT | DIFF | ADD HOURS'!G18/'CALC | FCAST | HOURS'!P$30</f>
        <v>18.731123525872501</v>
      </c>
      <c r="H18" s="134">
        <f>'OUTPUT | DIFF | ADD HOURS'!H18/'CALC | FCAST | HOURS'!Q$30</f>
        <v>18.884567704754328</v>
      </c>
      <c r="I18" s="142">
        <f t="shared" si="2"/>
        <v>1087.6487929678908</v>
      </c>
      <c r="K18" s="2" t="s">
        <v>40</v>
      </c>
      <c r="L18" s="133">
        <f>'OUTPUT | DIFF | ADD HOURS'!L18/'CALC | FCAST | HOURS'!L$30</f>
        <v>1066.7209458072055</v>
      </c>
      <c r="M18" s="134">
        <f>'OUTPUT | DIFF | ADD HOURS'!M18/'CALC | FCAST | HOURS'!M$30</f>
        <v>405.33595583052409</v>
      </c>
      <c r="N18" s="134">
        <f>'OUTPUT | DIFF | ADD HOURS'!N18/'CALC | FCAST | HOURS'!N$30</f>
        <v>109.98284929720901</v>
      </c>
      <c r="O18" s="134">
        <f>'OUTPUT | DIFF | ADD HOURS'!O18/'CALC | FCAST | HOURS'!O$30</f>
        <v>38.067771313484023</v>
      </c>
      <c r="P18" s="134">
        <f>'OUTPUT | DIFF | ADD HOURS'!P18/'CALC | FCAST | HOURS'!P$30</f>
        <v>28.900454732543867</v>
      </c>
      <c r="Q18" s="134">
        <f>'OUTPUT | DIFF | ADD HOURS'!Q18/'CALC | FCAST | HOURS'!Q$30</f>
        <v>29.137205429298451</v>
      </c>
      <c r="R18" s="150">
        <f t="shared" si="3"/>
        <v>1678.1451824102649</v>
      </c>
    </row>
    <row r="19" spans="2:18" x14ac:dyDescent="0.25">
      <c r="B19" s="2" t="s">
        <v>42</v>
      </c>
      <c r="C19" s="133">
        <f>'OUTPUT | DIFF | ADD HOURS'!C19/'CALC | FCAST | HOURS'!L$30</f>
        <v>151.05941616222611</v>
      </c>
      <c r="D19" s="134">
        <f>'OUTPUT | DIFF | ADD HOURS'!D19/'CALC | FCAST | HOURS'!M$30</f>
        <v>178.86542639455641</v>
      </c>
      <c r="E19" s="134">
        <f>'OUTPUT | DIFF | ADD HOURS'!E19/'CALC | FCAST | HOURS'!N$30</f>
        <v>75.034417095306736</v>
      </c>
      <c r="F19" s="134">
        <f>'OUTPUT | DIFF | ADD HOURS'!F19/'CALC | FCAST | HOURS'!O$30</f>
        <v>37.658325101338633</v>
      </c>
      <c r="G19" s="134">
        <f>'OUTPUT | DIFF | ADD HOURS'!G19/'CALC | FCAST | HOURS'!P$30</f>
        <v>19.939583108186856</v>
      </c>
      <c r="H19" s="134">
        <f>'OUTPUT | DIFF | ADD HOURS'!H19/'CALC | FCAST | HOURS'!Q$30</f>
        <v>16.786282404226071</v>
      </c>
      <c r="I19" s="142">
        <f t="shared" si="2"/>
        <v>479.34345026584083</v>
      </c>
      <c r="K19" s="2" t="s">
        <v>42</v>
      </c>
      <c r="L19" s="133">
        <f>'OUTPUT | DIFF | ADD HOURS'!L19/'CALC | FCAST | HOURS'!L$30</f>
        <v>233.07122035102637</v>
      </c>
      <c r="M19" s="134">
        <f>'OUTPUT | DIFF | ADD HOURS'!M19/'CALC | FCAST | HOURS'!M$30</f>
        <v>275.97341673567604</v>
      </c>
      <c r="N19" s="134">
        <f>'OUTPUT | DIFF | ADD HOURS'!N19/'CALC | FCAST | HOURS'!N$30</f>
        <v>115.77142031285165</v>
      </c>
      <c r="O19" s="134">
        <f>'OUTPUT | DIFF | ADD HOURS'!O19/'CALC | FCAST | HOURS'!O$30</f>
        <v>58.103440425844013</v>
      </c>
      <c r="P19" s="134">
        <f>'OUTPUT | DIFF | ADD HOURS'!P19/'CALC | FCAST | HOURS'!P$30</f>
        <v>30.765000199159598</v>
      </c>
      <c r="Q19" s="134">
        <f>'OUTPUT | DIFF | ADD HOURS'!Q19/'CALC | FCAST | HOURS'!Q$30</f>
        <v>25.899738159376408</v>
      </c>
      <c r="R19" s="150">
        <f t="shared" si="3"/>
        <v>739.58423618393408</v>
      </c>
    </row>
    <row r="20" spans="2:18" x14ac:dyDescent="0.25">
      <c r="B20" s="139" t="s">
        <v>30</v>
      </c>
      <c r="C20" s="140">
        <f>'OUTPUT | DIFF | ADD HOURS'!C20/'CALC | FCAST | HOURS'!L$30</f>
        <v>2782.9974570075333</v>
      </c>
      <c r="D20" s="141">
        <f>'OUTPUT | DIFF | ADD HOURS'!D20/'CALC | FCAST | HOURS'!M$30</f>
        <v>1176.0401785442086</v>
      </c>
      <c r="E20" s="141">
        <f>'OUTPUT | DIFF | ADD HOURS'!E20/'CALC | FCAST | HOURS'!N$30</f>
        <v>415.28663923133229</v>
      </c>
      <c r="F20" s="141">
        <f>'OUTPUT | DIFF | ADD HOURS'!F20/'CALC | FCAST | HOURS'!O$30</f>
        <v>161.88751250460524</v>
      </c>
      <c r="G20" s="141">
        <f>'OUTPUT | DIFF | ADD HOURS'!G20/'CALC | FCAST | HOURS'!P$30</f>
        <v>96.072536793991205</v>
      </c>
      <c r="H20" s="141">
        <f>'OUTPUT | DIFF | ADD HOURS'!H20/'CALC | FCAST | HOURS'!Q$30</f>
        <v>100.71769442535638</v>
      </c>
      <c r="I20" s="140">
        <f t="shared" si="2"/>
        <v>4733.0020185070271</v>
      </c>
      <c r="K20" s="147" t="s">
        <v>30</v>
      </c>
      <c r="L20" s="148">
        <f>'OUTPUT | DIFF | ADD HOURS'!L20/'CALC | FCAST | HOURS'!L$30</f>
        <v>4293.9171222664008</v>
      </c>
      <c r="M20" s="149">
        <f>'OUTPUT | DIFF | ADD HOURS'!M20/'CALC | FCAST | HOURS'!M$30</f>
        <v>1814.5252150370698</v>
      </c>
      <c r="N20" s="149">
        <f>'OUTPUT | DIFF | ADD HOURS'!N20/'CALC | FCAST | HOURS'!N$30</f>
        <v>640.75028396228277</v>
      </c>
      <c r="O20" s="149">
        <f>'OUTPUT | DIFF | ADD HOURS'!O20/'CALC | FCAST | HOURS'!O$30</f>
        <v>249.77800826742137</v>
      </c>
      <c r="P20" s="149">
        <f>'OUTPUT | DIFF | ADD HOURS'!P20/'CALC | FCAST | HOURS'!P$30</f>
        <v>148.23136459595082</v>
      </c>
      <c r="Q20" s="149">
        <f>'OUTPUT | DIFF | ADD HOURS'!Q20/'CALC | FCAST | HOURS'!Q$30</f>
        <v>155.39842895625847</v>
      </c>
      <c r="R20" s="148">
        <f t="shared" si="3"/>
        <v>7302.600423085385</v>
      </c>
    </row>
    <row r="22" spans="2:18" x14ac:dyDescent="0.25">
      <c r="B22" s="203" t="s">
        <v>30</v>
      </c>
      <c r="C22" s="203"/>
      <c r="D22" s="203"/>
      <c r="E22" s="203"/>
      <c r="F22" s="203"/>
      <c r="G22" s="203"/>
      <c r="H22" s="203"/>
      <c r="I22" s="203"/>
    </row>
    <row r="23" spans="2:18" x14ac:dyDescent="0.25">
      <c r="B23" s="106"/>
      <c r="C23" s="106"/>
      <c r="D23" s="106"/>
      <c r="E23" s="106"/>
      <c r="F23" s="106"/>
      <c r="G23" s="106"/>
      <c r="H23" s="106"/>
      <c r="I23" s="106"/>
    </row>
    <row r="24" spans="2:18" x14ac:dyDescent="0.25">
      <c r="B24" s="106"/>
      <c r="C24" s="204" t="s">
        <v>0</v>
      </c>
      <c r="D24" s="203"/>
      <c r="E24" s="203"/>
      <c r="F24" s="203"/>
      <c r="G24" s="203"/>
      <c r="H24" s="203"/>
      <c r="I24" s="203"/>
    </row>
    <row r="25" spans="2:18" x14ac:dyDescent="0.25">
      <c r="B25" s="163" t="s">
        <v>29</v>
      </c>
      <c r="C25" s="164" t="s">
        <v>45</v>
      </c>
      <c r="D25" s="165" t="s">
        <v>21</v>
      </c>
      <c r="E25" s="165" t="s">
        <v>22</v>
      </c>
      <c r="F25" s="165" t="s">
        <v>23</v>
      </c>
      <c r="G25" s="165" t="s">
        <v>24</v>
      </c>
      <c r="H25" s="165" t="s">
        <v>25</v>
      </c>
      <c r="I25" s="166" t="s">
        <v>30</v>
      </c>
    </row>
    <row r="26" spans="2:18" x14ac:dyDescent="0.25">
      <c r="B26" s="167" t="s">
        <v>41</v>
      </c>
      <c r="C26" s="174">
        <f>C6+L6+C16+L16</f>
        <v>4304.1837948901375</v>
      </c>
      <c r="D26" s="175">
        <f t="shared" ref="D26:I26" si="4">D6+M6+D16+M16</f>
        <v>1388.1264442536394</v>
      </c>
      <c r="E26" s="175">
        <f t="shared" si="4"/>
        <v>427.33470161829803</v>
      </c>
      <c r="F26" s="175">
        <f t="shared" si="4"/>
        <v>169.3069981870716</v>
      </c>
      <c r="G26" s="175">
        <f t="shared" si="4"/>
        <v>69.401119336400399</v>
      </c>
      <c r="H26" s="175">
        <f t="shared" si="4"/>
        <v>84.677983522092205</v>
      </c>
      <c r="I26" s="176">
        <f t="shared" si="4"/>
        <v>6443.0310418076388</v>
      </c>
    </row>
    <row r="27" spans="2:18" x14ac:dyDescent="0.25">
      <c r="B27" s="167" t="s">
        <v>39</v>
      </c>
      <c r="C27" s="174">
        <f t="shared" ref="C27:I27" si="5">C7+L7+C17+L17</f>
        <v>1719.9095082040512</v>
      </c>
      <c r="D27" s="175">
        <f t="shared" si="5"/>
        <v>891.87124043296353</v>
      </c>
      <c r="E27" s="175">
        <f t="shared" si="5"/>
        <v>407.62534431095486</v>
      </c>
      <c r="F27" s="175">
        <f t="shared" si="5"/>
        <v>139.74545882107492</v>
      </c>
      <c r="G27" s="175">
        <f t="shared" si="5"/>
        <v>108.79094382462765</v>
      </c>
      <c r="H27" s="175">
        <f t="shared" si="5"/>
        <v>117.2464387228969</v>
      </c>
      <c r="I27" s="176">
        <f t="shared" si="5"/>
        <v>3385.1889343165694</v>
      </c>
    </row>
    <row r="28" spans="2:18" x14ac:dyDescent="0.25">
      <c r="B28" s="167" t="s">
        <v>40</v>
      </c>
      <c r="C28" s="174">
        <f t="shared" ref="C28:I28" si="6">C8+L8+C18+L18</f>
        <v>2146.2118649383883</v>
      </c>
      <c r="D28" s="175">
        <f t="shared" si="6"/>
        <v>815.52428599901327</v>
      </c>
      <c r="E28" s="175">
        <f t="shared" si="6"/>
        <v>221.28232976880409</v>
      </c>
      <c r="F28" s="175">
        <f t="shared" si="6"/>
        <v>76.591261084627661</v>
      </c>
      <c r="G28" s="175">
        <f t="shared" si="6"/>
        <v>58.146883768335464</v>
      </c>
      <c r="H28" s="175">
        <f t="shared" si="6"/>
        <v>58.623219361448449</v>
      </c>
      <c r="I28" s="176">
        <f t="shared" si="6"/>
        <v>3376.379844920617</v>
      </c>
    </row>
    <row r="29" spans="2:18" x14ac:dyDescent="0.25">
      <c r="B29" s="167" t="s">
        <v>42</v>
      </c>
      <c r="C29" s="174">
        <f t="shared" ref="C29:I29" si="7">C9+L9+C19+L19</f>
        <v>468.93259240777104</v>
      </c>
      <c r="D29" s="175">
        <f t="shared" si="7"/>
        <v>555.25057770145577</v>
      </c>
      <c r="E29" s="175">
        <f t="shared" si="7"/>
        <v>232.92876817768865</v>
      </c>
      <c r="F29" s="175">
        <f t="shared" si="7"/>
        <v>116.90245112916847</v>
      </c>
      <c r="G29" s="175">
        <f t="shared" si="7"/>
        <v>61.898295624357104</v>
      </c>
      <c r="H29" s="175">
        <f t="shared" si="7"/>
        <v>52.109528321287513</v>
      </c>
      <c r="I29" s="176">
        <f t="shared" si="7"/>
        <v>1488.0222133617285</v>
      </c>
    </row>
    <row r="30" spans="2:18" x14ac:dyDescent="0.25">
      <c r="B30" s="170" t="s">
        <v>30</v>
      </c>
      <c r="C30" s="177">
        <f t="shared" ref="C30:I30" si="8">C10+L10+C20+L20</f>
        <v>8639.2377604403482</v>
      </c>
      <c r="D30" s="178">
        <f t="shared" si="8"/>
        <v>3650.7725483870722</v>
      </c>
      <c r="E30" s="178">
        <f t="shared" si="8"/>
        <v>1289.1711438757459</v>
      </c>
      <c r="F30" s="178">
        <f t="shared" si="8"/>
        <v>502.54616922194271</v>
      </c>
      <c r="G30" s="178">
        <f t="shared" si="8"/>
        <v>298.23724255372059</v>
      </c>
      <c r="H30" s="178">
        <f t="shared" si="8"/>
        <v>312.65716992772502</v>
      </c>
      <c r="I30" s="177">
        <f t="shared" si="8"/>
        <v>14692.622034406555</v>
      </c>
    </row>
    <row r="32" spans="2:18" x14ac:dyDescent="0.25">
      <c r="I32" s="180"/>
    </row>
  </sheetData>
  <mergeCells count="10">
    <mergeCell ref="C24:I24"/>
    <mergeCell ref="B12:I12"/>
    <mergeCell ref="K12:R12"/>
    <mergeCell ref="C14:I14"/>
    <mergeCell ref="L14:R14"/>
    <mergeCell ref="B2:I2"/>
    <mergeCell ref="K2:R2"/>
    <mergeCell ref="B22:I22"/>
    <mergeCell ref="C4:I4"/>
    <mergeCell ref="L4:R4"/>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INPUT | WORKFORCE</vt:lpstr>
      <vt:lpstr>INPUT | POPULATION</vt:lpstr>
      <vt:lpstr>INPUT | SEGMENTATION</vt:lpstr>
      <vt:lpstr>CALC | TASK STD</vt:lpstr>
      <vt:lpstr>INPUT | BLINE | TASKS</vt:lpstr>
      <vt:lpstr>INPUT | FCAST | TASKS</vt:lpstr>
      <vt:lpstr>CALC | BLINE | HOURS</vt:lpstr>
      <vt:lpstr>CALC | FCAST | HOURS</vt:lpstr>
      <vt:lpstr>OUTPUT | BLINE | HR PER PT</vt:lpstr>
      <vt:lpstr>OUTPUT | FCAST | HR PER PT</vt:lpstr>
      <vt:lpstr>OUTPUT | DIFF | ADD HOURS</vt:lpstr>
      <vt:lpstr>OUTPUT | DIFF | ADD FTE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Richard Blackwell</dc:creator>
  <cp:lastModifiedBy>Richard Blackwell</cp:lastModifiedBy>
  <dcterms:created xsi:type="dcterms:W3CDTF">2026-05-28T08:49:06Z</dcterms:created>
  <dcterms:modified xsi:type="dcterms:W3CDTF">2026-06-11T14:06:10Z</dcterms:modified>
</cp:coreProperties>
</file>