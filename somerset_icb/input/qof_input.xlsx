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somerset_workforce_modelling/somerset_icb/input/"/>
    </mc:Choice>
  </mc:AlternateContent>
  <xr:revisionPtr revIDLastSave="204" documentId="8_{C2C0857E-B751-4CB8-BA5B-BF07BC29B57C}" xr6:coauthVersionLast="47" xr6:coauthVersionMax="47" xr10:uidLastSave="{67960356-BBC6-45BB-9739-89DED44E21D2}"/>
  <bookViews>
    <workbookView xWindow="-120" yWindow="-120" windowWidth="29040" windowHeight="15720" xr2:uid="{216AD6D8-AC4A-46B2-BAC2-A91F719AEE89}"/>
  </bookViews>
  <sheets>
    <sheet name="QOF_PREV" sheetId="4" r:id="rId1"/>
    <sheet name="POPN" sheetId="1" r:id="rId2"/>
    <sheet name="GROWTH" sheetId="2" r:id="rId3"/>
    <sheet name="COND" sheetId="7" r:id="rId4"/>
    <sheet name="PREV" sheetId="3" r:id="rId5"/>
    <sheet name="OR" sheetId="5" r:id="rId6"/>
  </sheets>
  <definedNames>
    <definedName name="_xlnm._FilterDatabase" localSheetId="4" hidden="1">PREV!$A$1:$C$799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9" i="2" l="1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<sst xmlns="http://schemas.openxmlformats.org/spreadsheetml/2006/main" count="3147" uniqueCount="101">
  <si>
    <t>IDX</t>
  </si>
  <si>
    <t>SIZE</t>
  </si>
  <si>
    <t>F|00_04</t>
  </si>
  <si>
    <t>F|05_09</t>
  </si>
  <si>
    <t>F|10_14</t>
  </si>
  <si>
    <t>F|15_19</t>
  </si>
  <si>
    <t>F|20_24</t>
  </si>
  <si>
    <t>F|25_29</t>
  </si>
  <si>
    <t>F|30_34</t>
  </si>
  <si>
    <t>F|35_39</t>
  </si>
  <si>
    <t>F|40_44</t>
  </si>
  <si>
    <t>F|45_49</t>
  </si>
  <si>
    <t>F|50_54</t>
  </si>
  <si>
    <t>F|55_59</t>
  </si>
  <si>
    <t>F|60_64</t>
  </si>
  <si>
    <t>F|65_69</t>
  </si>
  <si>
    <t>F|70_74</t>
  </si>
  <si>
    <t>F|75_79</t>
  </si>
  <si>
    <t>F|80_84</t>
  </si>
  <si>
    <t>F|85_89</t>
  </si>
  <si>
    <t>F|90_PLUS</t>
  </si>
  <si>
    <t>M|00_04</t>
  </si>
  <si>
    <t>M|05_09</t>
  </si>
  <si>
    <t>M|10_14</t>
  </si>
  <si>
    <t>M|15_19</t>
  </si>
  <si>
    <t>M|20_24</t>
  </si>
  <si>
    <t>M|25_29</t>
  </si>
  <si>
    <t>M|30_34</t>
  </si>
  <si>
    <t>M|35_39</t>
  </si>
  <si>
    <t>M|40_44</t>
  </si>
  <si>
    <t>M|45_49</t>
  </si>
  <si>
    <t>M|50_54</t>
  </si>
  <si>
    <t>M|55_59</t>
  </si>
  <si>
    <t>M|60_64</t>
  </si>
  <si>
    <t>M|65_69</t>
  </si>
  <si>
    <t>M|70_74</t>
  </si>
  <si>
    <t>M|75_79</t>
  </si>
  <si>
    <t>M|80_84</t>
  </si>
  <si>
    <t>M|85_89</t>
  </si>
  <si>
    <t>M|90_PLUS</t>
  </si>
  <si>
    <t>PCT_GROWTH</t>
  </si>
  <si>
    <t>YEAR</t>
  </si>
  <si>
    <t>AF</t>
  </si>
  <si>
    <t>COND</t>
  </si>
  <si>
    <t>AGE</t>
  </si>
  <si>
    <t>ALL</t>
  </si>
  <si>
    <t>DENOM</t>
  </si>
  <si>
    <t>NUMER</t>
  </si>
  <si>
    <t>CHD</t>
  </si>
  <si>
    <t>HF</t>
  </si>
  <si>
    <t>HYP</t>
  </si>
  <si>
    <t>PAD</t>
  </si>
  <si>
    <t>STIA</t>
  </si>
  <si>
    <t>PREV</t>
  </si>
  <si>
    <t>AST</t>
  </si>
  <si>
    <t>CAN</t>
  </si>
  <si>
    <t>CKD</t>
  </si>
  <si>
    <t>COPD</t>
  </si>
  <si>
    <t>DEM</t>
  </si>
  <si>
    <t>DEP</t>
  </si>
  <si>
    <t>DM</t>
  </si>
  <si>
    <t>EP</t>
  </si>
  <si>
    <t>LD</t>
  </si>
  <si>
    <t>MH</t>
  </si>
  <si>
    <t>NDH</t>
  </si>
  <si>
    <t>OB</t>
  </si>
  <si>
    <t>OST</t>
  </si>
  <si>
    <t>PC</t>
  </si>
  <si>
    <t>RA</t>
  </si>
  <si>
    <t>06_PLUS</t>
  </si>
  <si>
    <t>18_PLUS</t>
  </si>
  <si>
    <t>17_PLUS</t>
  </si>
  <si>
    <t>50_PLUS</t>
  </si>
  <si>
    <t>16_PLUS</t>
  </si>
  <si>
    <t>COND_I</t>
  </si>
  <si>
    <t>COND_J</t>
  </si>
  <si>
    <t>OR</t>
  </si>
  <si>
    <t>POPN_PROJ</t>
  </si>
  <si>
    <t>GENDER</t>
  </si>
  <si>
    <t>COND_LONG</t>
  </si>
  <si>
    <t>Asthma</t>
  </si>
  <si>
    <t>Chronic kidney disease</t>
  </si>
  <si>
    <t>Chronic obstructive pulmonary disease</t>
  </si>
  <si>
    <t>Diabetes mellitus</t>
  </si>
  <si>
    <t>Atrial fibrillation</t>
  </si>
  <si>
    <t>Cancer</t>
  </si>
  <si>
    <t>Secondary prevention of coronary heart disease</t>
  </si>
  <si>
    <t>Dementia</t>
  </si>
  <si>
    <t>Depression</t>
  </si>
  <si>
    <t>Epilepsy</t>
  </si>
  <si>
    <t>Heart failure</t>
  </si>
  <si>
    <t>Hypertension</t>
  </si>
  <si>
    <t>Learning disability</t>
  </si>
  <si>
    <t>Mental health</t>
  </si>
  <si>
    <t>Non-diabetic hyperglycaemia</t>
  </si>
  <si>
    <t>Obesity</t>
  </si>
  <si>
    <t>Osteoporosis: secondary prevention of fragility fractures</t>
  </si>
  <si>
    <t>Peripheral arterial disease</t>
  </si>
  <si>
    <t>Palliative care</t>
  </si>
  <si>
    <t>Rheumatoid arthritis</t>
  </si>
  <si>
    <t>Stroke and transient ischaemic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</si>
</sst>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indexed="3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u/>
      <sz val="12"/>
      <color rgb="FF004488"/>
      <name val="Arial"/>
      <family val="2"/>
    </font>
    <font>
      <sz val="12"/>
      <color indexed="8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20" fillId="0" borderId="0"/>
    <xf numFmtId="43" fontId="20" fillId="0" borderId="0"/>
    <xf numFmtId="0" fontId="22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9" fontId="20" fillId="0" borderId="0"/>
    <xf numFmtId="9" fontId="18" fillId="0" borderId="0"/>
    <xf numFmtId="9" fontId="1" fillId="0" borderId="0"/>
    <xf numFmtId="9" fontId="18" fillId="0" borderId="0"/>
    <xf numFmtId="9" fontId="20" fillId="0" borderId="0"/>
    <xf numFmtId="9" fontId="23" fillId="0" borderId="0"/>
    <xf numFmtId="0" fontId="21" fillId="0" borderId="0">
      <alignment vertical="top"/>
      <protection locked="0"/>
    </xf>
    <xf numFmtId="0" fontId="25" fillId="0" borderId="0"/>
    <xf numFmtId="0" fontId="26" fillId="8" borderId="8"/>
    <xf numFmtId="0" fontId="26" fillId="34" borderId="10"/>
    <xf numFmtId="0" fontId="20" fillId="0" borderId="0"/>
    <xf numFmtId="0" fontId="24" fillId="0" borderId="0"/>
    <xf numFmtId="0" fontId="20" fillId="0" borderId="0"/>
    <xf numFmtId="0" fontId="20" fillId="0" borderId="0"/>
    <xf numFmtId="0" fontId="19" fillId="0" borderId="0"/>
    <xf numFmtId="0" fontId="18" fillId="0" borderId="0"/>
    <xf numFmtId="43" fontId="20" fillId="0" borderId="0"/>
    <xf numFmtId="43" fontId="20" fillId="0" borderId="0"/>
    <xf numFmtId="0" fontId="18" fillId="0" borderId="0"/>
    <xf numFmtId="0" fontId="18" fillId="0" borderId="0"/>
    <xf numFmtId="9" fontId="18" fillId="0" borderId="0"/>
    <xf numFmtId="9" fontId="18" fillId="0" borderId="0"/>
    <xf numFmtId="0" fontId="18" fillId="0" borderId="0"/>
    <xf numFmtId="43" fontId="1" fillId="0" borderId="0"/>
    <xf numFmtId="0" fontId="18" fillId="0" borderId="0"/>
    <xf numFmtId="0" fontId="18" fillId="0" borderId="0"/>
    <xf numFmtId="9" fontId="18" fillId="0" borderId="0"/>
    <xf numFmtId="9" fontId="18" fillId="0" borderId="0"/>
    <xf numFmtId="0" fontId="18" fillId="0" borderId="0"/>
    <xf numFmtId="0" fontId="28" fillId="0" borderId="0"/>
    <xf numFmtId="43" fontId="20" fillId="0" borderId="0"/>
    <xf numFmtId="43" fontId="20" fillId="0" borderId="0"/>
    <xf numFmtId="43" fontId="1" fillId="0" borderId="0"/>
    <xf numFmtId="43" fontId="20" fillId="0" borderId="0"/>
    <xf numFmtId="43" fontId="20" fillId="0" borderId="0"/>
    <xf numFmtId="43" fontId="1" fillId="0" borderId="0"/>
    <xf numFmtId="0" fontId="27" fillId="0" borderId="0"/>
    <xf numFmtId="0" fontId="28" fillId="0" borderId="0"/>
    <xf numFmtId="43" fontId="20" fillId="0" borderId="0"/>
    <xf numFmtId="43" fontId="20" fillId="0" borderId="0"/>
    <xf numFmtId="0" fontId="22" fillId="0" borderId="0"/>
    <xf numFmtId="9" fontId="20" fillId="0" borderId="0"/>
    <xf numFmtId="9" fontId="18" fillId="0" borderId="0"/>
    <xf numFmtId="9" fontId="1" fillId="0" borderId="0"/>
    <xf numFmtId="9" fontId="18" fillId="0" borderId="0"/>
    <xf numFmtId="9" fontId="20" fillId="0" borderId="0"/>
    <xf numFmtId="9" fontId="23" fillId="0" borderId="0"/>
    <xf numFmtId="0" fontId="21" fillId="0" borderId="0">
      <alignment vertical="top"/>
      <protection locked="0"/>
    </xf>
    <xf numFmtId="0" fontId="25" fillId="0" borderId="0"/>
    <xf numFmtId="0" fontId="26" fillId="8" borderId="8"/>
    <xf numFmtId="0" fontId="26" fillId="34" borderId="10"/>
    <xf numFmtId="0" fontId="20" fillId="0" borderId="0"/>
    <xf numFmtId="0" fontId="24" fillId="0" borderId="0"/>
    <xf numFmtId="0" fontId="20" fillId="0" borderId="0"/>
    <xf numFmtId="0" fontId="20" fillId="0" borderId="0"/>
    <xf numFmtId="0" fontId="28" fillId="0" borderId="0"/>
    <xf numFmtId="0" fontId="27" fillId="0" borderId="0"/>
    <xf numFmtId="43" fontId="1" fillId="0" borderId="0"/>
  </cellStyleXfs>
  <cellXfs count="31">
    <xf numFmtId="0" fontId="0" fillId="0" borderId="0" xfId="0"/>
    <xf numFmtId="0" fontId="0" fillId="0" borderId="0" xfId="0"/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0" fontId="0" fillId="0" borderId="0" xfId="0"/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0" fontId="0" fillId="0" borderId="0" xfId="0"/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0" fontId="0" fillId="0" borderId="0" xfId="0"/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0" borderId="0" xfId="42" applyNumberFormat="1" applyFont="1" applyAlignment="1">
      <alignment horizontal="right"/>
    </xf>
    <xf numFmtId="0" fontId="0" fillId="0" borderId="0" xfId="0"/>
    <xf numFmtId="3" fontId="19" fillId="33" borderId="0" xfId="42" applyNumberFormat="1" applyFont="1" applyFill="1" applyAlignment="1">
      <alignment horizontal="right"/>
    </xf>
    <xf numFmtId="0" fontId="0" fillId="0" borderId="0" xfId="0"/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33" borderId="0" xfId="42" applyNumberFormat="1" applyFont="1" applyFill="1" applyAlignment="1">
      <alignment horizontal="right"/>
    </xf>
    <xf numFmtId="3" fontId="19" fillId="0" borderId="0" xfId="42" applyNumberFormat="1" applyFont="1" applyAlignment="1">
      <alignment horizontal="right"/>
    </xf>
    <xf numFmtId="3" fontId="19" fillId="0" borderId="0" xfId="42" applyNumberFormat="1" applyFont="1" applyAlignment="1">
      <alignment horizontal="right"/>
    </xf>
    <xf numFmtId="0" fontId="0" fillId="0" borderId="0" xfId="0"/>
    <xf numFmtId="3" fontId="19" fillId="33" borderId="0" xfId="42" applyNumberFormat="1" applyFont="1" applyFill="1" applyAlignment="1">
      <alignment horizontal="right"/>
    </xf>
  </cellXfs>
  <cellStyles count="10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08DC94AE-0E20-44FB-8C33-085038BA7E9D}"/>
    <cellStyle name="Comma 2 2" xfId="66" xr:uid="{6E7F0252-3618-41CE-B87F-D7C6CD789321}"/>
    <cellStyle name="Comma 2 3" xfId="80" xr:uid="{EFA7F9BF-2C3C-4301-BDF4-1DDFEE3D8667}"/>
    <cellStyle name="Comma 2 4" xfId="83" xr:uid="{6AC5C827-8E02-4575-90C1-D82E2637FB2D}"/>
    <cellStyle name="Comma 2 5" xfId="88" xr:uid="{E74042A3-6E36-428B-8D6A-58E308103586}"/>
    <cellStyle name="Comma 3" xfId="44" xr:uid="{85A2D585-5396-4C00-9D88-5CDDB31997FD}"/>
    <cellStyle name="Comma 3 2" xfId="67" xr:uid="{CF45D536-7DF9-47A5-B96C-1105FDFC1102}"/>
    <cellStyle name="Comma 3 3" xfId="81" xr:uid="{21A7E47A-A6FF-4E74-8366-AC4A5E493DF3}"/>
    <cellStyle name="Comma 3 4" xfId="84" xr:uid="{9550819B-DB19-4C28-91B5-C3CD9C9499F9}"/>
    <cellStyle name="Comma 3 5" xfId="89" xr:uid="{AF1F1B37-D2EE-4CEA-AA41-454557FC9748}"/>
    <cellStyle name="Comma 4" xfId="73" xr:uid="{42359BA0-5D45-4222-8E5B-D680F0F22332}"/>
    <cellStyle name="Comma 4 2" xfId="107" xr:uid="{4AC39045-23C9-433C-BF36-BADFFC3696A7}"/>
    <cellStyle name="Comma 5" xfId="82" xr:uid="{96EC471A-4DD9-4C92-AC00-63D92BC19184}"/>
    <cellStyle name="Comma 6" xfId="85" xr:uid="{0B16EE84-65E3-4947-A3E6-C5A211123B34}"/>
    <cellStyle name="Explanatory Text" xfId="16" builtinId="53" customBuiltin="1"/>
    <cellStyle name="ExportHeaderStyleLeft" xfId="62" xr:uid="{7A1EEC10-D748-42EC-96FF-652272D31277}"/>
    <cellStyle name="ExportHeaderStyleLeft 2" xfId="103" xr:uid="{2ADB5930-CF6C-4465-89A4-5B1AE0E8E2FA}"/>
    <cellStyle name="ExportHeaderStyleRight" xfId="63" xr:uid="{788DE3A1-3048-4011-908C-7653F39C4A6D}"/>
    <cellStyle name="ExportHeaderStyleRight 2" xfId="104" xr:uid="{4F9DD3F6-D541-4F38-BFB1-5EDA8926F7A3}"/>
    <cellStyle name="ExportLogo" xfId="61" xr:uid="{28BD857B-EC0C-4401-9CE4-5601C2E1626C}"/>
    <cellStyle name="ExportLogo 2" xfId="102" xr:uid="{6B9CEC74-886D-44F8-8188-1F694C8B3CD2}"/>
    <cellStyle name="Followed Hyperlink 2" xfId="57" xr:uid="{54BDDFB2-6DB5-40AE-B2E6-61666A188E6C}"/>
    <cellStyle name="Followed Hyperlink 2 2" xfId="98" xr:uid="{1E176268-F38B-4B05-AD40-97B4331F0E7D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5" xr:uid="{F29CB050-C213-4E8A-BF81-FC2B53C5EC56}"/>
    <cellStyle name="Hyperlink 2 2" xfId="90" xr:uid="{51327EE2-F168-43E6-8091-7FB6D7FD9D20}"/>
    <cellStyle name="Hyperlink 3" xfId="56" xr:uid="{10A00DE4-20F4-4775-9C2D-52F086404355}"/>
    <cellStyle name="Hyperlink 3 2" xfId="97" xr:uid="{CBBBDDCF-86D4-401E-8E58-2C644205A643}"/>
    <cellStyle name="Hyperlink 4" xfId="60" xr:uid="{F91A73E7-F420-46A7-8388-74DA4B4A76D6}"/>
    <cellStyle name="Hyperlink 4 2" xfId="101" xr:uid="{E3A8DBB5-D4C8-4747-8A18-F2F86CE57483}"/>
    <cellStyle name="Hyperlink 5" xfId="79" xr:uid="{45D13DE2-82C4-4F7E-857D-0206FB5F9857}"/>
    <cellStyle name="Hyperlink 5 2" xfId="86" xr:uid="{EBD31852-F023-41A9-9048-4A40D80E2CA6}"/>
    <cellStyle name="Hyperlink 5 3" xfId="105" xr:uid="{29E1F622-5A8F-4EAD-A0B7-2241A69B04BD}"/>
    <cellStyle name="Hyperlink 6" xfId="106" xr:uid="{C902FBB9-F6C4-4458-9F21-F5B729273B4D}"/>
    <cellStyle name="Hyperlink 7" xfId="87" xr:uid="{FB7F09C9-B88A-41EE-81DB-B132D5B64708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8673922-35FA-4ACE-86C4-9D4B31A72BDB}"/>
    <cellStyle name="Normal 2 2" xfId="46" xr:uid="{40B2B7DC-FFCD-469A-8153-66F783DE063D}"/>
    <cellStyle name="Normal 3" xfId="47" xr:uid="{1614E2DE-07E4-4A0F-962C-C9A041FD26CC}"/>
    <cellStyle name="Normal 3 2" xfId="48" xr:uid="{8525654B-FBD0-4CCF-9400-5A926AD1AA96}"/>
    <cellStyle name="Normal 3 2 2" xfId="75" xr:uid="{C77AA02D-CC99-48BC-A5F4-6F215C53AC49}"/>
    <cellStyle name="Normal 3 2 3" xfId="69" xr:uid="{4EE3146F-D563-483C-961D-C41E2AE12820}"/>
    <cellStyle name="Normal 3 3" xfId="74" xr:uid="{AFE265C6-99AB-4A82-A4A9-54F1EDECE1C0}"/>
    <cellStyle name="Normal 3 4" xfId="68" xr:uid="{027D4A35-9F23-44FC-ACFD-7A0EE7E7ED11}"/>
    <cellStyle name="Normal 4" xfId="49" xr:uid="{DEBBC7F4-58E0-4E5E-A578-0DE1DE953D77}"/>
    <cellStyle name="Normal 5" xfId="64" xr:uid="{5A9D2311-0B6F-4C79-A626-0F4DD05FFD47}"/>
    <cellStyle name="Normal 6" xfId="65" xr:uid="{F02846CE-CC51-43E5-837B-AD1FAEA70325}"/>
    <cellStyle name="Normal 6 2" xfId="78" xr:uid="{D6EEC4AA-75B2-4A34-B19E-2B3172CB063E}"/>
    <cellStyle name="Normal 6 3" xfId="72" xr:uid="{E9A4E0D1-A212-4C43-85FB-B6A688C69998}"/>
    <cellStyle name="Note" xfId="15" builtinId="10" customBuiltin="1"/>
    <cellStyle name="Note 2" xfId="58" xr:uid="{E11C3839-935A-4D25-BD97-99B93B4E0442}"/>
    <cellStyle name="Note 2 2" xfId="99" xr:uid="{4068BDC2-2FB7-426A-8E7B-92CD2E699E1F}"/>
    <cellStyle name="Note 3" xfId="59" xr:uid="{A5ACAE8C-EF45-48D8-92B9-D9FD5EB3A1C9}"/>
    <cellStyle name="Note 3 2" xfId="100" xr:uid="{B142347B-EA90-4870-9728-624F1822C73E}"/>
    <cellStyle name="Output" xfId="10" builtinId="21" customBuiltin="1"/>
    <cellStyle name="Percent 2" xfId="50" xr:uid="{28CA0C08-45FF-4E30-90F6-BB0AC3501CB2}"/>
    <cellStyle name="Percent 2 2" xfId="91" xr:uid="{BE9D98E2-5B94-4853-984B-FC6DC9B8820E}"/>
    <cellStyle name="Percent 3" xfId="51" xr:uid="{1AD9FE60-D568-436C-A042-0F13D9838820}"/>
    <cellStyle name="Percent 3 2" xfId="52" xr:uid="{2420BC70-4A03-47C5-9E9B-C32480664298}"/>
    <cellStyle name="Percent 3 2 2" xfId="53" xr:uid="{575074CF-D990-485A-AFC8-E93F5E16D6DE}"/>
    <cellStyle name="Percent 3 2 2 2" xfId="77" xr:uid="{9E20E73B-0D7B-468B-950C-4E1997ADF552}"/>
    <cellStyle name="Percent 3 2 2 3" xfId="71" xr:uid="{949F1000-0D79-4E48-B8F5-96094ADF060D}"/>
    <cellStyle name="Percent 3 2 2 4" xfId="94" xr:uid="{BAF53637-1E97-4AAB-AEA8-57C20868D66D}"/>
    <cellStyle name="Percent 3 2 3" xfId="93" xr:uid="{09C7C2BC-A670-48C6-93D1-0558378599D9}"/>
    <cellStyle name="Percent 3 3" xfId="76" xr:uid="{50C2E9B1-51F9-4621-BAEA-7CCA2DB002A8}"/>
    <cellStyle name="Percent 3 4" xfId="70" xr:uid="{F0C1B903-6237-443F-B4D8-6E643430E5C8}"/>
    <cellStyle name="Percent 3 5" xfId="92" xr:uid="{07431704-1C98-47B2-B0C1-06FC353B0EDC}"/>
    <cellStyle name="Percent 4" xfId="54" xr:uid="{1BE21522-731E-4DCC-A51A-4880BF4A690D}"/>
    <cellStyle name="Percent 4 2" xfId="95" xr:uid="{3BD8422C-2CC0-4F10-BA5F-52C510622337}"/>
    <cellStyle name="Percent 5" xfId="55" xr:uid="{1166B9E6-F7C3-4B1A-ABEA-99DB007E142F}"/>
    <cellStyle name="Percent 5 2" xfId="96" xr:uid="{6BFC26E7-0259-4516-8731-365AEF080D4B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E487-27AD-4E07-A603-F3E570430905}">
  <dimension ref="A1:E22"/>
  <sheetViews>
    <sheetView tabSelected="1" workbookViewId="0"/>
  </sheetViews>
  <sheetFormatPr defaultRowHeight="15" x14ac:dyDescent="0.25"/>
  <sheetData>
    <row r="1" spans="1:5" x14ac:dyDescent="0.25">
      <c r="A1" t="s">
        <v>43</v>
      </c>
      <c r="B1" t="s">
        <v>44</v>
      </c>
      <c r="C1" t="s">
        <v>46</v>
      </c>
      <c r="D1" t="s">
        <v>47</v>
      </c>
      <c r="E1" t="s">
        <v>53</v>
      </c>
    </row>
    <row r="2" spans="1:5" x14ac:dyDescent="0.25">
      <c r="A2" s="1" t="s">
        <v>42</v>
      </c>
      <c r="B2" s="1" t="s">
        <v>45</v>
      </c>
      <c r="C2" s="2">
        <v>607920</v>
      </c>
      <c r="D2" s="2">
        <v>19943</v>
      </c>
      <c r="E2">
        <f>D2/C2</f>
        <v>3.2805303329385443E-2</v>
      </c>
    </row>
    <row r="3" spans="1:5" x14ac:dyDescent="0.25">
      <c r="A3" s="1" t="s">
        <v>54</v>
      </c>
      <c r="B3" t="s">
        <v>69</v>
      </c>
      <c r="C3" s="4">
        <v>577056</v>
      </c>
      <c r="D3" s="3">
        <v>42369</v>
      </c>
      <c r="E3" s="29">
        <f t="shared" ref="E3:E22" si="0">D3/C3</f>
        <v>7.3422683413741474E-2</v>
      </c>
    </row>
    <row r="4" spans="1:5" x14ac:dyDescent="0.25">
      <c r="A4" s="1" t="s">
        <v>55</v>
      </c>
      <c r="B4" t="s">
        <v>45</v>
      </c>
      <c r="C4" s="5">
        <v>607920</v>
      </c>
      <c r="D4" s="5">
        <v>32737</v>
      </c>
      <c r="E4" s="29">
        <f t="shared" si="0"/>
        <v>5.3850835636267927E-2</v>
      </c>
    </row>
    <row r="5" spans="1:5" x14ac:dyDescent="0.25">
      <c r="A5" s="1" t="s">
        <v>48</v>
      </c>
      <c r="B5" s="1" t="s">
        <v>45</v>
      </c>
      <c r="C5" s="2">
        <v>607920</v>
      </c>
      <c r="D5" s="2">
        <v>24026</v>
      </c>
      <c r="E5" s="29">
        <f t="shared" si="0"/>
        <v>3.9521647585208583E-2</v>
      </c>
    </row>
    <row r="6" spans="1:5" x14ac:dyDescent="0.25">
      <c r="A6" s="1" t="s">
        <v>56</v>
      </c>
      <c r="B6" t="s">
        <v>70</v>
      </c>
      <c r="C6" s="7">
        <v>495556</v>
      </c>
      <c r="D6" s="6">
        <v>26137</v>
      </c>
      <c r="E6" s="29">
        <f t="shared" si="0"/>
        <v>5.2742777809167883E-2</v>
      </c>
    </row>
    <row r="7" spans="1:5" x14ac:dyDescent="0.25">
      <c r="A7" s="1" t="s">
        <v>57</v>
      </c>
      <c r="B7" t="s">
        <v>45</v>
      </c>
      <c r="C7" s="9">
        <v>607920</v>
      </c>
      <c r="D7" s="8">
        <v>13843</v>
      </c>
      <c r="E7" s="29">
        <f t="shared" si="0"/>
        <v>2.277108830109225E-2</v>
      </c>
    </row>
    <row r="8" spans="1:5" x14ac:dyDescent="0.25">
      <c r="A8" s="1" t="s">
        <v>58</v>
      </c>
      <c r="B8" t="s">
        <v>45</v>
      </c>
      <c r="C8" s="10">
        <v>607920</v>
      </c>
      <c r="D8" s="10">
        <v>5695</v>
      </c>
      <c r="E8" s="29">
        <f t="shared" si="0"/>
        <v>9.3680089485458605E-3</v>
      </c>
    </row>
    <row r="9" spans="1:5" x14ac:dyDescent="0.25">
      <c r="A9" s="1" t="s">
        <v>59</v>
      </c>
      <c r="B9" s="11" t="s">
        <v>70</v>
      </c>
      <c r="C9" s="12">
        <v>495556</v>
      </c>
      <c r="D9" s="12">
        <v>88651</v>
      </c>
      <c r="E9" s="29">
        <f t="shared" si="0"/>
        <v>0.17889199202511927</v>
      </c>
    </row>
    <row r="10" spans="1:5" x14ac:dyDescent="0.25">
      <c r="A10" s="1" t="s">
        <v>60</v>
      </c>
      <c r="B10" t="s">
        <v>71</v>
      </c>
      <c r="C10" s="13">
        <v>503000</v>
      </c>
      <c r="D10" s="13">
        <v>41101</v>
      </c>
      <c r="E10" s="29">
        <f t="shared" si="0"/>
        <v>8.1711729622266402E-2</v>
      </c>
    </row>
    <row r="11" spans="1:5" x14ac:dyDescent="0.25">
      <c r="A11" s="1" t="s">
        <v>61</v>
      </c>
      <c r="B11" s="14" t="s">
        <v>70</v>
      </c>
      <c r="C11" s="15">
        <v>495556</v>
      </c>
      <c r="D11" s="15">
        <v>4460</v>
      </c>
      <c r="E11" s="29">
        <f t="shared" si="0"/>
        <v>8.9999919282583597E-3</v>
      </c>
    </row>
    <row r="12" spans="1:5" x14ac:dyDescent="0.25">
      <c r="A12" s="1" t="s">
        <v>49</v>
      </c>
      <c r="B12" t="s">
        <v>45</v>
      </c>
      <c r="C12" s="16">
        <v>607920</v>
      </c>
      <c r="D12" s="16">
        <v>9899</v>
      </c>
      <c r="E12" s="29">
        <f t="shared" si="0"/>
        <v>1.6283392551651534E-2</v>
      </c>
    </row>
    <row r="13" spans="1:5" x14ac:dyDescent="0.25">
      <c r="A13" s="1" t="s">
        <v>50</v>
      </c>
      <c r="B13" s="17" t="s">
        <v>45</v>
      </c>
      <c r="C13" s="18">
        <v>607920</v>
      </c>
      <c r="D13" s="18">
        <v>113849</v>
      </c>
      <c r="E13" s="29">
        <f t="shared" si="0"/>
        <v>0.18727628635346757</v>
      </c>
    </row>
    <row r="14" spans="1:5" x14ac:dyDescent="0.25">
      <c r="A14" s="1" t="s">
        <v>62</v>
      </c>
      <c r="B14" t="s">
        <v>45</v>
      </c>
      <c r="C14" s="19">
        <v>607920</v>
      </c>
      <c r="D14" s="19">
        <v>3759</v>
      </c>
      <c r="E14" s="29">
        <f t="shared" si="0"/>
        <v>6.1833793920252665E-3</v>
      </c>
    </row>
    <row r="15" spans="1:5" x14ac:dyDescent="0.25">
      <c r="A15" s="1" t="s">
        <v>63</v>
      </c>
      <c r="B15" t="s">
        <v>45</v>
      </c>
      <c r="C15" s="20">
        <v>607920</v>
      </c>
      <c r="D15" s="20">
        <v>5405</v>
      </c>
      <c r="E15" s="29">
        <f t="shared" si="0"/>
        <v>8.8909724963811033E-3</v>
      </c>
    </row>
    <row r="16" spans="1:5" x14ac:dyDescent="0.25">
      <c r="A16" s="1" t="s">
        <v>64</v>
      </c>
      <c r="B16" s="21" t="s">
        <v>70</v>
      </c>
      <c r="C16" s="22">
        <v>495556</v>
      </c>
      <c r="D16" s="22">
        <v>56648</v>
      </c>
      <c r="E16" s="29">
        <f t="shared" si="0"/>
        <v>0.11431200510134072</v>
      </c>
    </row>
    <row r="17" spans="1:5" x14ac:dyDescent="0.25">
      <c r="A17" s="1" t="s">
        <v>65</v>
      </c>
      <c r="B17" s="23" t="s">
        <v>70</v>
      </c>
      <c r="C17" s="24">
        <v>495556</v>
      </c>
      <c r="D17" s="24">
        <v>71314</v>
      </c>
      <c r="E17" s="29">
        <f t="shared" si="0"/>
        <v>0.14390704582327729</v>
      </c>
    </row>
    <row r="18" spans="1:5" x14ac:dyDescent="0.25">
      <c r="A18" s="1" t="s">
        <v>66</v>
      </c>
      <c r="B18" t="s">
        <v>72</v>
      </c>
      <c r="C18" s="25">
        <v>279392</v>
      </c>
      <c r="D18" s="25">
        <v>7465</v>
      </c>
      <c r="E18" s="29">
        <f t="shared" si="0"/>
        <v>2.671873210399725E-2</v>
      </c>
    </row>
    <row r="19" spans="1:5" x14ac:dyDescent="0.25">
      <c r="A19" s="1" t="s">
        <v>51</v>
      </c>
      <c r="B19" t="s">
        <v>45</v>
      </c>
      <c r="C19" s="26">
        <v>607920</v>
      </c>
      <c r="D19" s="26">
        <v>4769</v>
      </c>
      <c r="E19" s="29">
        <f t="shared" si="0"/>
        <v>7.8447822081852882E-3</v>
      </c>
    </row>
    <row r="20" spans="1:5" x14ac:dyDescent="0.25">
      <c r="A20" s="1" t="s">
        <v>67</v>
      </c>
      <c r="B20" t="s">
        <v>45</v>
      </c>
      <c r="C20" s="27">
        <v>607920</v>
      </c>
      <c r="D20" s="27">
        <v>2646</v>
      </c>
      <c r="E20" s="29">
        <f t="shared" si="0"/>
        <v>4.3525463876825897E-3</v>
      </c>
    </row>
    <row r="21" spans="1:5" x14ac:dyDescent="0.25">
      <c r="A21" s="1" t="s">
        <v>68</v>
      </c>
      <c r="B21" t="s">
        <v>73</v>
      </c>
      <c r="C21" s="28">
        <v>510233</v>
      </c>
      <c r="D21" s="28">
        <v>4950</v>
      </c>
      <c r="E21" s="29">
        <f t="shared" si="0"/>
        <v>9.701450121807096E-3</v>
      </c>
    </row>
    <row r="22" spans="1:5" x14ac:dyDescent="0.25">
      <c r="A22" s="1" t="s">
        <v>52</v>
      </c>
      <c r="B22" t="s">
        <v>45</v>
      </c>
      <c r="C22" s="30">
        <v>607920</v>
      </c>
      <c r="D22" s="30">
        <v>15011</v>
      </c>
      <c r="E22" s="29">
        <f t="shared" si="0"/>
        <v>2.4692393736017896E-2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9363-6F01-41D3-A689-9BD54CEC9373}">
  <dimension ref="A1:B3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11914</v>
      </c>
    </row>
    <row r="3" spans="1:2" x14ac:dyDescent="0.25">
      <c r="A3" t="s">
        <v>3</v>
      </c>
      <c r="B3">
        <v>14570</v>
      </c>
    </row>
    <row r="4" spans="1:2" x14ac:dyDescent="0.25">
      <c r="A4" t="s">
        <v>4</v>
      </c>
      <c r="B4">
        <v>16735</v>
      </c>
    </row>
    <row r="5" spans="1:2" x14ac:dyDescent="0.25">
      <c r="A5" t="s">
        <v>5</v>
      </c>
      <c r="B5">
        <v>16743</v>
      </c>
    </row>
    <row r="6" spans="1:2" x14ac:dyDescent="0.25">
      <c r="A6" t="s">
        <v>6</v>
      </c>
      <c r="B6">
        <v>13156</v>
      </c>
    </row>
    <row r="7" spans="1:2" x14ac:dyDescent="0.25">
      <c r="A7" t="s">
        <v>7</v>
      </c>
      <c r="B7">
        <v>15321</v>
      </c>
    </row>
    <row r="8" spans="1:2" x14ac:dyDescent="0.25">
      <c r="A8" t="s">
        <v>8</v>
      </c>
      <c r="B8">
        <v>17997</v>
      </c>
    </row>
    <row r="9" spans="1:2" x14ac:dyDescent="0.25">
      <c r="A9" t="s">
        <v>9</v>
      </c>
      <c r="B9">
        <v>19260</v>
      </c>
    </row>
    <row r="10" spans="1:2" x14ac:dyDescent="0.25">
      <c r="A10" t="s">
        <v>10</v>
      </c>
      <c r="B10">
        <v>17987</v>
      </c>
    </row>
    <row r="11" spans="1:2" x14ac:dyDescent="0.25">
      <c r="A11" t="s">
        <v>11</v>
      </c>
      <c r="B11">
        <v>16872</v>
      </c>
    </row>
    <row r="12" spans="1:2" x14ac:dyDescent="0.25">
      <c r="A12" t="s">
        <v>12</v>
      </c>
      <c r="B12">
        <v>18719</v>
      </c>
    </row>
    <row r="13" spans="1:2" x14ac:dyDescent="0.25">
      <c r="A13" t="s">
        <v>13</v>
      </c>
      <c r="B13">
        <v>21955</v>
      </c>
    </row>
    <row r="14" spans="1:2" x14ac:dyDescent="0.25">
      <c r="A14" t="s">
        <v>14</v>
      </c>
      <c r="B14">
        <v>22941</v>
      </c>
    </row>
    <row r="15" spans="1:2" x14ac:dyDescent="0.25">
      <c r="A15" t="s">
        <v>15</v>
      </c>
      <c r="B15">
        <v>20029</v>
      </c>
    </row>
    <row r="16" spans="1:2" x14ac:dyDescent="0.25">
      <c r="A16" t="s">
        <v>16</v>
      </c>
      <c r="B16">
        <v>18290</v>
      </c>
    </row>
    <row r="17" spans="1:2" x14ac:dyDescent="0.25">
      <c r="A17" t="s">
        <v>17</v>
      </c>
      <c r="B17">
        <v>18545</v>
      </c>
    </row>
    <row r="18" spans="1:2" x14ac:dyDescent="0.25">
      <c r="A18" t="s">
        <v>18</v>
      </c>
      <c r="B18">
        <v>12798</v>
      </c>
    </row>
    <row r="19" spans="1:2" x14ac:dyDescent="0.25">
      <c r="A19" t="s">
        <v>19</v>
      </c>
      <c r="B19">
        <v>7663</v>
      </c>
    </row>
    <row r="20" spans="1:2" x14ac:dyDescent="0.25">
      <c r="A20" t="s">
        <v>20</v>
      </c>
      <c r="B20">
        <v>4997</v>
      </c>
    </row>
    <row r="21" spans="1:2" x14ac:dyDescent="0.25">
      <c r="A21" t="s">
        <v>21</v>
      </c>
      <c r="B21">
        <v>12517</v>
      </c>
    </row>
    <row r="22" spans="1:2" x14ac:dyDescent="0.25">
      <c r="A22" t="s">
        <v>22</v>
      </c>
      <c r="B22">
        <v>15232</v>
      </c>
    </row>
    <row r="23" spans="1:2" x14ac:dyDescent="0.25">
      <c r="A23" t="s">
        <v>23</v>
      </c>
      <c r="B23">
        <v>17530</v>
      </c>
    </row>
    <row r="24" spans="1:2" x14ac:dyDescent="0.25">
      <c r="A24" t="s">
        <v>24</v>
      </c>
      <c r="B24">
        <v>17968</v>
      </c>
    </row>
    <row r="25" spans="1:2" x14ac:dyDescent="0.25">
      <c r="A25" t="s">
        <v>25</v>
      </c>
      <c r="B25">
        <v>14008</v>
      </c>
    </row>
    <row r="26" spans="1:2" x14ac:dyDescent="0.25">
      <c r="A26" t="s">
        <v>26</v>
      </c>
      <c r="B26">
        <v>15534</v>
      </c>
    </row>
    <row r="27" spans="1:2" x14ac:dyDescent="0.25">
      <c r="A27" t="s">
        <v>27</v>
      </c>
      <c r="B27">
        <v>17984</v>
      </c>
    </row>
    <row r="28" spans="1:2" x14ac:dyDescent="0.25">
      <c r="A28" t="s">
        <v>28</v>
      </c>
      <c r="B28">
        <v>19476</v>
      </c>
    </row>
    <row r="29" spans="1:2" x14ac:dyDescent="0.25">
      <c r="A29" t="s">
        <v>29</v>
      </c>
      <c r="B29">
        <v>18602</v>
      </c>
    </row>
    <row r="30" spans="1:2" x14ac:dyDescent="0.25">
      <c r="A30" t="s">
        <v>30</v>
      </c>
      <c r="B30">
        <v>17028</v>
      </c>
    </row>
    <row r="31" spans="1:2" x14ac:dyDescent="0.25">
      <c r="A31" t="s">
        <v>31</v>
      </c>
      <c r="B31">
        <v>18456</v>
      </c>
    </row>
    <row r="32" spans="1:2" x14ac:dyDescent="0.25">
      <c r="A32" t="s">
        <v>32</v>
      </c>
      <c r="B32">
        <v>21555</v>
      </c>
    </row>
    <row r="33" spans="1:2" x14ac:dyDescent="0.25">
      <c r="A33" t="s">
        <v>33</v>
      </c>
      <c r="B33">
        <v>22143</v>
      </c>
    </row>
    <row r="34" spans="1:2" x14ac:dyDescent="0.25">
      <c r="A34" t="s">
        <v>34</v>
      </c>
      <c r="B34">
        <v>19161</v>
      </c>
    </row>
    <row r="35" spans="1:2" x14ac:dyDescent="0.25">
      <c r="A35" t="s">
        <v>35</v>
      </c>
      <c r="B35">
        <v>16691</v>
      </c>
    </row>
    <row r="36" spans="1:2" x14ac:dyDescent="0.25">
      <c r="A36" t="s">
        <v>36</v>
      </c>
      <c r="B36">
        <v>16712</v>
      </c>
    </row>
    <row r="37" spans="1:2" x14ac:dyDescent="0.25">
      <c r="A37" t="s">
        <v>37</v>
      </c>
      <c r="B37">
        <v>10843</v>
      </c>
    </row>
    <row r="38" spans="1:2" x14ac:dyDescent="0.25">
      <c r="A38" t="s">
        <v>38</v>
      </c>
      <c r="B38">
        <v>5602</v>
      </c>
    </row>
    <row r="39" spans="1:2" x14ac:dyDescent="0.25">
      <c r="A39" t="s">
        <v>39</v>
      </c>
      <c r="B39">
        <v>2676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2948-245B-40C1-8538-C35EAF71DF9F}">
  <dimension ref="A1:F989"/>
  <sheetViews>
    <sheetView workbookViewId="0"/>
  </sheetViews>
  <sheetFormatPr defaultRowHeight="15" x14ac:dyDescent="0.25"/>
  <cols>
    <col min="1" max="1" width="10.7109375" bestFit="1" customWidth="1"/>
    <col min="2" max="2" width="13.140625" bestFit="1" customWidth="1"/>
    <col min="4" max="5" width="9.140625" style="29"/>
  </cols>
  <sheetData>
    <row r="1" spans="1:6" x14ac:dyDescent="0.25">
      <c r="A1" t="s">
        <v>0</v>
      </c>
      <c r="B1" t="s">
        <v>41</v>
      </c>
      <c r="C1" t="s">
        <v>40</v>
      </c>
      <c r="D1" s="29" t="s">
        <v>78</v>
      </c>
      <c r="E1" s="29" t="s">
        <v>44</v>
      </c>
      <c r="F1" t="s">
        <v>77</v>
      </c>
    </row>
    <row r="2" spans="1:6" x14ac:dyDescent="0.25">
      <c r="A2" t="s">
        <v>21</v>
      </c>
      <c r="B2">
        <v>2022</v>
      </c>
      <c r="C2">
        <v>5.2891707346746399E-2</v>
      </c>
      <c r="D2" s="29" t="str">
        <f>LEFT(A2,1)</f>
        <v>M</v>
      </c>
      <c r="E2" s="29" t="str">
        <f>MID(A2,3,LEN(A2)-2)</f>
        <v>00_04</v>
      </c>
      <c r="F2">
        <f>VLOOKUP(A2,POPN!$A$1:$B$39,2,FALSE)*(1+GROWTH!C2)</f>
        <v>13179.045500859223</v>
      </c>
    </row>
    <row r="3" spans="1:6" x14ac:dyDescent="0.25">
      <c r="A3" t="s">
        <v>21</v>
      </c>
      <c r="B3">
        <v>2023</v>
      </c>
      <c r="C3">
        <v>3.91365177851788E-2</v>
      </c>
      <c r="D3" s="29" t="str">
        <f t="shared" ref="D3:D66" si="0">LEFT(A3,1)</f>
        <v>M</v>
      </c>
      <c r="E3" s="29" t="str">
        <f t="shared" ref="E3:E66" si="1">MID(A3,3,LEN(A3)-2)</f>
        <v>00_04</v>
      </c>
      <c r="F3" s="29">
        <f>VLOOKUP(A3,POPN!$A$1:$B$39,2,FALSE)*(1+GROWTH!C3)</f>
        <v>13006.871793117083</v>
      </c>
    </row>
    <row r="4" spans="1:6" x14ac:dyDescent="0.25">
      <c r="A4" t="s">
        <v>21</v>
      </c>
      <c r="B4">
        <v>2024</v>
      </c>
      <c r="C4">
        <v>2.3419559894764099E-2</v>
      </c>
      <c r="D4" s="29" t="str">
        <f t="shared" si="0"/>
        <v>M</v>
      </c>
      <c r="E4" s="29" t="str">
        <f t="shared" si="1"/>
        <v>00_04</v>
      </c>
      <c r="F4" s="29">
        <f>VLOOKUP(A4,POPN!$A$1:$B$39,2,FALSE)*(1+GROWTH!C4)</f>
        <v>12810.142631202763</v>
      </c>
    </row>
    <row r="5" spans="1:6" x14ac:dyDescent="0.25">
      <c r="A5" t="s">
        <v>21</v>
      </c>
      <c r="B5">
        <v>2025</v>
      </c>
      <c r="C5">
        <v>0</v>
      </c>
      <c r="D5" s="29" t="str">
        <f t="shared" si="0"/>
        <v>M</v>
      </c>
      <c r="E5" s="29" t="str">
        <f t="shared" si="1"/>
        <v>00_04</v>
      </c>
      <c r="F5" s="29">
        <f>VLOOKUP(A5,POPN!$A$1:$B$39,2,FALSE)*(1+GROWTH!C5)</f>
        <v>12517</v>
      </c>
    </row>
    <row r="6" spans="1:6" x14ac:dyDescent="0.25">
      <c r="A6" t="s">
        <v>21</v>
      </c>
      <c r="B6">
        <v>2026</v>
      </c>
      <c r="C6">
        <v>-2.15490366044679E-2</v>
      </c>
      <c r="D6" s="29" t="str">
        <f t="shared" si="0"/>
        <v>M</v>
      </c>
      <c r="E6" s="29" t="str">
        <f t="shared" si="1"/>
        <v>00_04</v>
      </c>
      <c r="F6" s="29">
        <f>VLOOKUP(A6,POPN!$A$1:$B$39,2,FALSE)*(1+GROWTH!C6)</f>
        <v>12247.270708821874</v>
      </c>
    </row>
    <row r="7" spans="1:6" x14ac:dyDescent="0.25">
      <c r="A7" t="s">
        <v>21</v>
      </c>
      <c r="B7">
        <v>2027</v>
      </c>
      <c r="C7">
        <v>-3.3639004212479201E-2</v>
      </c>
      <c r="D7" s="29" t="str">
        <f t="shared" si="0"/>
        <v>M</v>
      </c>
      <c r="E7" s="29" t="str">
        <f t="shared" si="1"/>
        <v>00_04</v>
      </c>
      <c r="F7" s="29">
        <f>VLOOKUP(A7,POPN!$A$1:$B$39,2,FALSE)*(1+GROWTH!C7)</f>
        <v>12095.940584272397</v>
      </c>
    </row>
    <row r="8" spans="1:6" x14ac:dyDescent="0.25">
      <c r="A8" t="s">
        <v>21</v>
      </c>
      <c r="B8">
        <v>2028</v>
      </c>
      <c r="C8">
        <v>-3.6672901744300899E-2</v>
      </c>
      <c r="D8" s="29" t="str">
        <f t="shared" si="0"/>
        <v>M</v>
      </c>
      <c r="E8" s="29" t="str">
        <f t="shared" si="1"/>
        <v>00_04</v>
      </c>
      <c r="F8" s="29">
        <f>VLOOKUP(A8,POPN!$A$1:$B$39,2,FALSE)*(1+GROWTH!C8)</f>
        <v>12057.965288866586</v>
      </c>
    </row>
    <row r="9" spans="1:6" x14ac:dyDescent="0.25">
      <c r="A9" t="s">
        <v>21</v>
      </c>
      <c r="B9">
        <v>2029</v>
      </c>
      <c r="C9">
        <v>-3.8254482412518803E-2</v>
      </c>
      <c r="D9" s="29" t="str">
        <f t="shared" si="0"/>
        <v>M</v>
      </c>
      <c r="E9" s="29" t="str">
        <f t="shared" si="1"/>
        <v>00_04</v>
      </c>
      <c r="F9" s="29">
        <f>VLOOKUP(A9,POPN!$A$1:$B$39,2,FALSE)*(1+GROWTH!C9)</f>
        <v>12038.168643642503</v>
      </c>
    </row>
    <row r="10" spans="1:6" x14ac:dyDescent="0.25">
      <c r="A10" t="s">
        <v>21</v>
      </c>
      <c r="B10">
        <v>2030</v>
      </c>
      <c r="C10">
        <v>-4.02238544945785E-2</v>
      </c>
      <c r="D10" s="29" t="str">
        <f t="shared" si="0"/>
        <v>M</v>
      </c>
      <c r="E10" s="29" t="str">
        <f t="shared" si="1"/>
        <v>00_04</v>
      </c>
      <c r="F10" s="29">
        <f>VLOOKUP(A10,POPN!$A$1:$B$39,2,FALSE)*(1+GROWTH!C10)</f>
        <v>12013.518013291361</v>
      </c>
    </row>
    <row r="11" spans="1:6" x14ac:dyDescent="0.25">
      <c r="A11" t="s">
        <v>21</v>
      </c>
      <c r="B11">
        <v>2031</v>
      </c>
      <c r="C11">
        <v>-4.2101981538087099E-2</v>
      </c>
      <c r="D11" s="29" t="str">
        <f t="shared" si="0"/>
        <v>M</v>
      </c>
      <c r="E11" s="29" t="str">
        <f t="shared" si="1"/>
        <v>00_04</v>
      </c>
      <c r="F11" s="29">
        <f>VLOOKUP(A11,POPN!$A$1:$B$39,2,FALSE)*(1+GROWTH!C11)</f>
        <v>11990.009497087764</v>
      </c>
    </row>
    <row r="12" spans="1:6" x14ac:dyDescent="0.25">
      <c r="A12" t="s">
        <v>21</v>
      </c>
      <c r="B12">
        <v>2032</v>
      </c>
      <c r="C12">
        <v>-4.3333789558526098E-2</v>
      </c>
      <c r="D12" s="29" t="str">
        <f t="shared" si="0"/>
        <v>M</v>
      </c>
      <c r="E12" s="29" t="str">
        <f t="shared" si="1"/>
        <v>00_04</v>
      </c>
      <c r="F12" s="29">
        <f>VLOOKUP(A12,POPN!$A$1:$B$39,2,FALSE)*(1+GROWTH!C12)</f>
        <v>11974.59095609593</v>
      </c>
    </row>
    <row r="13" spans="1:6" x14ac:dyDescent="0.25">
      <c r="A13" t="s">
        <v>21</v>
      </c>
      <c r="B13">
        <v>2033</v>
      </c>
      <c r="C13">
        <v>-4.42462399440363E-2</v>
      </c>
      <c r="D13" s="29" t="str">
        <f t="shared" si="0"/>
        <v>M</v>
      </c>
      <c r="E13" s="29" t="str">
        <f t="shared" si="1"/>
        <v>00_04</v>
      </c>
      <c r="F13" s="29">
        <f>VLOOKUP(A13,POPN!$A$1:$B$39,2,FALSE)*(1+GROWTH!C13)</f>
        <v>11963.169814620498</v>
      </c>
    </row>
    <row r="14" spans="1:6" x14ac:dyDescent="0.25">
      <c r="A14" t="s">
        <v>21</v>
      </c>
      <c r="B14">
        <v>2034</v>
      </c>
      <c r="C14">
        <v>-4.4603616345027901E-2</v>
      </c>
      <c r="D14" s="29" t="str">
        <f t="shared" si="0"/>
        <v>M</v>
      </c>
      <c r="E14" s="29" t="str">
        <f t="shared" si="1"/>
        <v>00_04</v>
      </c>
      <c r="F14" s="29">
        <f>VLOOKUP(A14,POPN!$A$1:$B$39,2,FALSE)*(1+GROWTH!C14)</f>
        <v>11958.696534209286</v>
      </c>
    </row>
    <row r="15" spans="1:6" x14ac:dyDescent="0.25">
      <c r="A15" t="s">
        <v>21</v>
      </c>
      <c r="B15">
        <v>2035</v>
      </c>
      <c r="C15">
        <v>-4.4238636190823702E-2</v>
      </c>
      <c r="D15" s="29" t="str">
        <f t="shared" si="0"/>
        <v>M</v>
      </c>
      <c r="E15" s="29" t="str">
        <f t="shared" si="1"/>
        <v>00_04</v>
      </c>
      <c r="F15" s="29">
        <f>VLOOKUP(A15,POPN!$A$1:$B$39,2,FALSE)*(1+GROWTH!C15)</f>
        <v>11963.26499079946</v>
      </c>
    </row>
    <row r="16" spans="1:6" x14ac:dyDescent="0.25">
      <c r="A16" t="s">
        <v>21</v>
      </c>
      <c r="B16">
        <v>2036</v>
      </c>
      <c r="C16">
        <v>-4.3067658196085601E-2</v>
      </c>
      <c r="D16" s="29" t="str">
        <f t="shared" si="0"/>
        <v>M</v>
      </c>
      <c r="E16" s="29" t="str">
        <f t="shared" si="1"/>
        <v>00_04</v>
      </c>
      <c r="F16" s="29">
        <f>VLOOKUP(A16,POPN!$A$1:$B$39,2,FALSE)*(1+GROWTH!C16)</f>
        <v>11977.922122359596</v>
      </c>
    </row>
    <row r="17" spans="1:6" x14ac:dyDescent="0.25">
      <c r="A17" t="s">
        <v>21</v>
      </c>
      <c r="B17">
        <v>2037</v>
      </c>
      <c r="C17">
        <v>-4.09690223094119E-2</v>
      </c>
      <c r="D17" s="29" t="str">
        <f t="shared" si="0"/>
        <v>M</v>
      </c>
      <c r="E17" s="29" t="str">
        <f t="shared" si="1"/>
        <v>00_04</v>
      </c>
      <c r="F17" s="29">
        <f>VLOOKUP(A17,POPN!$A$1:$B$39,2,FALSE)*(1+GROWTH!C17)</f>
        <v>12004.190747753091</v>
      </c>
    </row>
    <row r="18" spans="1:6" x14ac:dyDescent="0.25">
      <c r="A18" t="s">
        <v>21</v>
      </c>
      <c r="B18">
        <v>2038</v>
      </c>
      <c r="C18">
        <v>-3.8041577322566397E-2</v>
      </c>
      <c r="D18" s="29" t="str">
        <f t="shared" si="0"/>
        <v>M</v>
      </c>
      <c r="E18" s="29" t="str">
        <f t="shared" si="1"/>
        <v>00_04</v>
      </c>
      <c r="F18" s="29">
        <f>VLOOKUP(A18,POPN!$A$1:$B$39,2,FALSE)*(1+GROWTH!C18)</f>
        <v>12040.833576653436</v>
      </c>
    </row>
    <row r="19" spans="1:6" x14ac:dyDescent="0.25">
      <c r="A19" t="s">
        <v>21</v>
      </c>
      <c r="B19">
        <v>2039</v>
      </c>
      <c r="C19">
        <v>-3.4513435831926599E-2</v>
      </c>
      <c r="D19" s="29" t="str">
        <f t="shared" si="0"/>
        <v>M</v>
      </c>
      <c r="E19" s="29" t="str">
        <f t="shared" si="1"/>
        <v>00_04</v>
      </c>
      <c r="F19" s="29">
        <f>VLOOKUP(A19,POPN!$A$1:$B$39,2,FALSE)*(1+GROWTH!C19)</f>
        <v>12084.995323691775</v>
      </c>
    </row>
    <row r="20" spans="1:6" x14ac:dyDescent="0.25">
      <c r="A20" t="s">
        <v>21</v>
      </c>
      <c r="B20">
        <v>2040</v>
      </c>
      <c r="C20">
        <v>-3.0597502927445001E-2</v>
      </c>
      <c r="D20" s="29" t="str">
        <f t="shared" si="0"/>
        <v>M</v>
      </c>
      <c r="E20" s="29" t="str">
        <f t="shared" si="1"/>
        <v>00_04</v>
      </c>
      <c r="F20" s="29">
        <f>VLOOKUP(A20,POPN!$A$1:$B$39,2,FALSE)*(1+GROWTH!C20)</f>
        <v>12134.011055857171</v>
      </c>
    </row>
    <row r="21" spans="1:6" x14ac:dyDescent="0.25">
      <c r="A21" t="s">
        <v>21</v>
      </c>
      <c r="B21">
        <v>2041</v>
      </c>
      <c r="C21">
        <v>-2.6499079945861301E-2</v>
      </c>
      <c r="D21" s="29" t="str">
        <f t="shared" si="0"/>
        <v>M</v>
      </c>
      <c r="E21" s="29" t="str">
        <f t="shared" si="1"/>
        <v>00_04</v>
      </c>
      <c r="F21" s="29">
        <f>VLOOKUP(A21,POPN!$A$1:$B$39,2,FALSE)*(1+GROWTH!C21)</f>
        <v>12185.311016317653</v>
      </c>
    </row>
    <row r="22" spans="1:6" x14ac:dyDescent="0.25">
      <c r="A22" t="s">
        <v>21</v>
      </c>
      <c r="B22">
        <v>2042</v>
      </c>
      <c r="C22">
        <v>-2.2484298249615901E-2</v>
      </c>
      <c r="D22" s="29" t="str">
        <f t="shared" si="0"/>
        <v>M</v>
      </c>
      <c r="E22" s="29" t="str">
        <f t="shared" si="1"/>
        <v>00_04</v>
      </c>
      <c r="F22" s="29">
        <f>VLOOKUP(A22,POPN!$A$1:$B$39,2,FALSE)*(1+GROWTH!C22)</f>
        <v>12235.564038809556</v>
      </c>
    </row>
    <row r="23" spans="1:6" x14ac:dyDescent="0.25">
      <c r="A23" t="s">
        <v>21</v>
      </c>
      <c r="B23">
        <v>2043</v>
      </c>
      <c r="C23">
        <v>-1.8918137992913201E-2</v>
      </c>
      <c r="D23" s="29" t="str">
        <f t="shared" si="0"/>
        <v>M</v>
      </c>
      <c r="E23" s="29" t="str">
        <f t="shared" si="1"/>
        <v>00_04</v>
      </c>
      <c r="F23" s="29">
        <f>VLOOKUP(A23,POPN!$A$1:$B$39,2,FALSE)*(1+GROWTH!C23)</f>
        <v>12280.201666742705</v>
      </c>
    </row>
    <row r="24" spans="1:6" x14ac:dyDescent="0.25">
      <c r="A24" t="s">
        <v>21</v>
      </c>
      <c r="B24">
        <v>2044</v>
      </c>
      <c r="C24">
        <v>-1.6097145551043902E-2</v>
      </c>
      <c r="D24" s="29" t="str">
        <f t="shared" si="0"/>
        <v>M</v>
      </c>
      <c r="E24" s="29" t="str">
        <f t="shared" si="1"/>
        <v>00_04</v>
      </c>
      <c r="F24" s="29">
        <f>VLOOKUP(A24,POPN!$A$1:$B$39,2,FALSE)*(1+GROWTH!C24)</f>
        <v>12315.512029137584</v>
      </c>
    </row>
    <row r="25" spans="1:6" x14ac:dyDescent="0.25">
      <c r="A25" t="s">
        <v>21</v>
      </c>
      <c r="B25">
        <v>2045</v>
      </c>
      <c r="C25">
        <v>-1.41277734689842E-2</v>
      </c>
      <c r="D25" s="29" t="str">
        <f t="shared" si="0"/>
        <v>M</v>
      </c>
      <c r="E25" s="29" t="str">
        <f t="shared" si="1"/>
        <v>00_04</v>
      </c>
      <c r="F25" s="29">
        <f>VLOOKUP(A25,POPN!$A$1:$B$39,2,FALSE)*(1+GROWTH!C25)</f>
        <v>12340.162659488726</v>
      </c>
    </row>
    <row r="26" spans="1:6" x14ac:dyDescent="0.25">
      <c r="A26" t="s">
        <v>21</v>
      </c>
      <c r="B26">
        <v>2046</v>
      </c>
      <c r="C26">
        <v>-1.31164742917104E-2</v>
      </c>
      <c r="D26" s="29" t="str">
        <f t="shared" si="0"/>
        <v>M</v>
      </c>
      <c r="E26" s="29" t="str">
        <f t="shared" si="1"/>
        <v>00_04</v>
      </c>
      <c r="F26" s="29">
        <f>VLOOKUP(A26,POPN!$A$1:$B$39,2,FALSE)*(1+GROWTH!C26)</f>
        <v>12352.821091290662</v>
      </c>
    </row>
    <row r="27" spans="1:6" x14ac:dyDescent="0.25">
      <c r="A27" t="s">
        <v>21</v>
      </c>
      <c r="B27">
        <v>2047</v>
      </c>
      <c r="C27">
        <v>-1.3093663032072499E-2</v>
      </c>
      <c r="D27" s="29" t="str">
        <f t="shared" si="0"/>
        <v>M</v>
      </c>
      <c r="E27" s="29" t="str">
        <f t="shared" si="1"/>
        <v>00_04</v>
      </c>
      <c r="F27" s="29">
        <f>VLOOKUP(A27,POPN!$A$1:$B$39,2,FALSE)*(1+GROWTH!C27)</f>
        <v>12353.106619827549</v>
      </c>
    </row>
    <row r="28" spans="1:6" x14ac:dyDescent="0.25">
      <c r="A28" t="s">
        <v>22</v>
      </c>
      <c r="B28">
        <v>2022</v>
      </c>
      <c r="C28">
        <v>2.2944739282261699E-2</v>
      </c>
      <c r="D28" s="29" t="str">
        <f t="shared" si="0"/>
        <v>M</v>
      </c>
      <c r="E28" s="29" t="str">
        <f t="shared" si="1"/>
        <v>05_09</v>
      </c>
      <c r="F28" s="29">
        <f>VLOOKUP(A28,POPN!$A$1:$B$39,2,FALSE)*(1+GROWTH!C28)</f>
        <v>15581.49426874741</v>
      </c>
    </row>
    <row r="29" spans="1:6" x14ac:dyDescent="0.25">
      <c r="A29" t="s">
        <v>22</v>
      </c>
      <c r="B29">
        <v>2023</v>
      </c>
      <c r="C29">
        <v>1.6638059726030999E-2</v>
      </c>
      <c r="D29" s="29" t="str">
        <f t="shared" si="0"/>
        <v>M</v>
      </c>
      <c r="E29" s="29" t="str">
        <f t="shared" si="1"/>
        <v>05_09</v>
      </c>
      <c r="F29" s="29">
        <f>VLOOKUP(A29,POPN!$A$1:$B$39,2,FALSE)*(1+GROWTH!C29)</f>
        <v>15485.430925746903</v>
      </c>
    </row>
    <row r="30" spans="1:6" x14ac:dyDescent="0.25">
      <c r="A30" t="s">
        <v>22</v>
      </c>
      <c r="B30">
        <v>2024</v>
      </c>
      <c r="C30">
        <v>7.6153648864599899E-3</v>
      </c>
      <c r="D30" s="29" t="str">
        <f t="shared" si="0"/>
        <v>M</v>
      </c>
      <c r="E30" s="29" t="str">
        <f t="shared" si="1"/>
        <v>05_09</v>
      </c>
      <c r="F30" s="29">
        <f>VLOOKUP(A30,POPN!$A$1:$B$39,2,FALSE)*(1+GROWTH!C30)</f>
        <v>15347.99723795056</v>
      </c>
    </row>
    <row r="31" spans="1:6" x14ac:dyDescent="0.25">
      <c r="A31" t="s">
        <v>22</v>
      </c>
      <c r="B31">
        <v>2025</v>
      </c>
      <c r="C31">
        <v>0</v>
      </c>
      <c r="D31" s="29" t="str">
        <f t="shared" si="0"/>
        <v>M</v>
      </c>
      <c r="E31" s="29" t="str">
        <f t="shared" si="1"/>
        <v>05_09</v>
      </c>
      <c r="F31" s="29">
        <f>VLOOKUP(A31,POPN!$A$1:$B$39,2,FALSE)*(1+GROWTH!C31)</f>
        <v>15232</v>
      </c>
    </row>
    <row r="32" spans="1:6" x14ac:dyDescent="0.25">
      <c r="A32" t="s">
        <v>22</v>
      </c>
      <c r="B32">
        <v>2026</v>
      </c>
      <c r="C32">
        <v>-1.36852973477749E-2</v>
      </c>
      <c r="D32" s="29" t="str">
        <f t="shared" si="0"/>
        <v>M</v>
      </c>
      <c r="E32" s="29" t="str">
        <f t="shared" si="1"/>
        <v>05_09</v>
      </c>
      <c r="F32" s="29">
        <f>VLOOKUP(A32,POPN!$A$1:$B$39,2,FALSE)*(1+GROWTH!C32)</f>
        <v>15023.545550798694</v>
      </c>
    </row>
    <row r="33" spans="1:6" x14ac:dyDescent="0.25">
      <c r="A33" t="s">
        <v>22</v>
      </c>
      <c r="B33">
        <v>2027</v>
      </c>
      <c r="C33">
        <v>-2.64104536995022E-2</v>
      </c>
      <c r="D33" s="29" t="str">
        <f t="shared" si="0"/>
        <v>M</v>
      </c>
      <c r="E33" s="29" t="str">
        <f t="shared" si="1"/>
        <v>05_09</v>
      </c>
      <c r="F33" s="29">
        <f>VLOOKUP(A33,POPN!$A$1:$B$39,2,FALSE)*(1+GROWTH!C33)</f>
        <v>14829.715969249182</v>
      </c>
    </row>
    <row r="34" spans="1:6" x14ac:dyDescent="0.25">
      <c r="A34" t="s">
        <v>22</v>
      </c>
      <c r="B34">
        <v>2028</v>
      </c>
      <c r="C34">
        <v>-4.4192791050959801E-2</v>
      </c>
      <c r="D34" s="29" t="str">
        <f t="shared" si="0"/>
        <v>M</v>
      </c>
      <c r="E34" s="29" t="str">
        <f t="shared" si="1"/>
        <v>05_09</v>
      </c>
      <c r="F34" s="29">
        <f>VLOOKUP(A34,POPN!$A$1:$B$39,2,FALSE)*(1+GROWTH!C34)</f>
        <v>14558.85540671178</v>
      </c>
    </row>
    <row r="35" spans="1:6" x14ac:dyDescent="0.25">
      <c r="A35" t="s">
        <v>22</v>
      </c>
      <c r="B35">
        <v>2029</v>
      </c>
      <c r="C35">
        <v>-6.0995258481793498E-2</v>
      </c>
      <c r="D35" s="29" t="str">
        <f t="shared" si="0"/>
        <v>M</v>
      </c>
      <c r="E35" s="29" t="str">
        <f t="shared" si="1"/>
        <v>05_09</v>
      </c>
      <c r="F35" s="29">
        <f>VLOOKUP(A35,POPN!$A$1:$B$39,2,FALSE)*(1+GROWTH!C35)</f>
        <v>14302.92022280532</v>
      </c>
    </row>
    <row r="36" spans="1:6" x14ac:dyDescent="0.25">
      <c r="A36" t="s">
        <v>22</v>
      </c>
      <c r="B36">
        <v>2030</v>
      </c>
      <c r="C36">
        <v>-8.0316451950204301E-2</v>
      </c>
      <c r="D36" s="29" t="str">
        <f t="shared" si="0"/>
        <v>M</v>
      </c>
      <c r="E36" s="29" t="str">
        <f t="shared" si="1"/>
        <v>05_09</v>
      </c>
      <c r="F36" s="29">
        <f>VLOOKUP(A36,POPN!$A$1:$B$39,2,FALSE)*(1+GROWTH!C36)</f>
        <v>14008.619803894488</v>
      </c>
    </row>
    <row r="37" spans="1:6" x14ac:dyDescent="0.25">
      <c r="A37" t="s">
        <v>22</v>
      </c>
      <c r="B37">
        <v>2031</v>
      </c>
      <c r="C37">
        <v>-9.6737493505895694E-2</v>
      </c>
      <c r="D37" s="29" t="str">
        <f t="shared" si="0"/>
        <v>M</v>
      </c>
      <c r="E37" s="29" t="str">
        <f t="shared" si="1"/>
        <v>05_09</v>
      </c>
      <c r="F37" s="29">
        <f>VLOOKUP(A37,POPN!$A$1:$B$39,2,FALSE)*(1+GROWTH!C37)</f>
        <v>13758.494498918197</v>
      </c>
    </row>
    <row r="38" spans="1:6" x14ac:dyDescent="0.25">
      <c r="A38" t="s">
        <v>22</v>
      </c>
      <c r="B38">
        <v>2032</v>
      </c>
      <c r="C38">
        <v>-0.10587856189292499</v>
      </c>
      <c r="D38" s="29" t="str">
        <f t="shared" si="0"/>
        <v>M</v>
      </c>
      <c r="E38" s="29" t="str">
        <f t="shared" si="1"/>
        <v>05_09</v>
      </c>
      <c r="F38" s="29">
        <f>VLOOKUP(A38,POPN!$A$1:$B$39,2,FALSE)*(1+GROWTH!C38)</f>
        <v>13619.257745246967</v>
      </c>
    </row>
    <row r="39" spans="1:6" x14ac:dyDescent="0.25">
      <c r="A39" t="s">
        <v>22</v>
      </c>
      <c r="B39">
        <v>2033</v>
      </c>
      <c r="C39">
        <v>-0.107180670914962</v>
      </c>
      <c r="D39" s="29" t="str">
        <f t="shared" si="0"/>
        <v>M</v>
      </c>
      <c r="E39" s="29" t="str">
        <f t="shared" si="1"/>
        <v>05_09</v>
      </c>
      <c r="F39" s="29">
        <f>VLOOKUP(A39,POPN!$A$1:$B$39,2,FALSE)*(1+GROWTH!C39)</f>
        <v>13599.424020623299</v>
      </c>
    </row>
    <row r="40" spans="1:6" x14ac:dyDescent="0.25">
      <c r="A40" t="s">
        <v>22</v>
      </c>
      <c r="B40">
        <v>2034</v>
      </c>
      <c r="C40">
        <v>-0.107851454350557</v>
      </c>
      <c r="D40" s="29" t="str">
        <f t="shared" si="0"/>
        <v>M</v>
      </c>
      <c r="E40" s="29" t="str">
        <f t="shared" si="1"/>
        <v>05_09</v>
      </c>
      <c r="F40" s="29">
        <f>VLOOKUP(A40,POPN!$A$1:$B$39,2,FALSE)*(1+GROWTH!C40)</f>
        <v>13589.206647332316</v>
      </c>
    </row>
    <row r="41" spans="1:6" x14ac:dyDescent="0.25">
      <c r="A41" t="s">
        <v>22</v>
      </c>
      <c r="B41">
        <v>2035</v>
      </c>
      <c r="C41">
        <v>-0.109120681831633</v>
      </c>
      <c r="D41" s="29" t="str">
        <f t="shared" si="0"/>
        <v>M</v>
      </c>
      <c r="E41" s="29" t="str">
        <f t="shared" si="1"/>
        <v>05_09</v>
      </c>
      <c r="F41" s="29">
        <f>VLOOKUP(A41,POPN!$A$1:$B$39,2,FALSE)*(1+GROWTH!C41)</f>
        <v>13569.873774340565</v>
      </c>
    </row>
    <row r="42" spans="1:6" x14ac:dyDescent="0.25">
      <c r="A42" t="s">
        <v>22</v>
      </c>
      <c r="B42">
        <v>2036</v>
      </c>
      <c r="C42">
        <v>-0.110317569922597</v>
      </c>
      <c r="D42" s="29" t="str">
        <f t="shared" si="0"/>
        <v>M</v>
      </c>
      <c r="E42" s="29" t="str">
        <f t="shared" si="1"/>
        <v>05_09</v>
      </c>
      <c r="F42" s="29">
        <f>VLOOKUP(A42,POPN!$A$1:$B$39,2,FALSE)*(1+GROWTH!C42)</f>
        <v>13551.642774939002</v>
      </c>
    </row>
    <row r="43" spans="1:6" x14ac:dyDescent="0.25">
      <c r="A43" t="s">
        <v>22</v>
      </c>
      <c r="B43">
        <v>2037</v>
      </c>
      <c r="C43">
        <v>-0.110942319200847</v>
      </c>
      <c r="D43" s="29" t="str">
        <f t="shared" si="0"/>
        <v>M</v>
      </c>
      <c r="E43" s="29" t="str">
        <f t="shared" si="1"/>
        <v>05_09</v>
      </c>
      <c r="F43" s="29">
        <f>VLOOKUP(A43,POPN!$A$1:$B$39,2,FALSE)*(1+GROWTH!C43)</f>
        <v>13542.126593932699</v>
      </c>
    </row>
    <row r="44" spans="1:6" x14ac:dyDescent="0.25">
      <c r="A44" t="s">
        <v>22</v>
      </c>
      <c r="B44">
        <v>2038</v>
      </c>
      <c r="C44">
        <v>-0.111284287226837</v>
      </c>
      <c r="D44" s="29" t="str">
        <f t="shared" si="0"/>
        <v>M</v>
      </c>
      <c r="E44" s="29" t="str">
        <f t="shared" si="1"/>
        <v>05_09</v>
      </c>
      <c r="F44" s="29">
        <f>VLOOKUP(A44,POPN!$A$1:$B$39,2,FALSE)*(1+GROWTH!C44)</f>
        <v>13536.917736960819</v>
      </c>
    </row>
    <row r="45" spans="1:6" x14ac:dyDescent="0.25">
      <c r="A45" t="s">
        <v>22</v>
      </c>
      <c r="B45">
        <v>2039</v>
      </c>
      <c r="C45">
        <v>-0.111126455830226</v>
      </c>
      <c r="D45" s="29" t="str">
        <f t="shared" si="0"/>
        <v>M</v>
      </c>
      <c r="E45" s="29" t="str">
        <f t="shared" si="1"/>
        <v>05_09</v>
      </c>
      <c r="F45" s="29">
        <f>VLOOKUP(A45,POPN!$A$1:$B$39,2,FALSE)*(1+GROWTH!C45)</f>
        <v>13539.321824793999</v>
      </c>
    </row>
    <row r="46" spans="1:6" x14ac:dyDescent="0.25">
      <c r="A46" t="s">
        <v>22</v>
      </c>
      <c r="B46">
        <v>2040</v>
      </c>
      <c r="C46">
        <v>-0.110337298847173</v>
      </c>
      <c r="D46" s="29" t="str">
        <f t="shared" si="0"/>
        <v>M</v>
      </c>
      <c r="E46" s="29" t="str">
        <f t="shared" si="1"/>
        <v>05_09</v>
      </c>
      <c r="F46" s="29">
        <f>VLOOKUP(A46,POPN!$A$1:$B$39,2,FALSE)*(1+GROWTH!C46)</f>
        <v>13551.342263959861</v>
      </c>
    </row>
    <row r="47" spans="1:6" x14ac:dyDescent="0.25">
      <c r="A47" t="s">
        <v>22</v>
      </c>
      <c r="B47">
        <v>2041</v>
      </c>
      <c r="C47">
        <v>-0.108831324271181</v>
      </c>
      <c r="D47" s="29" t="str">
        <f t="shared" si="0"/>
        <v>M</v>
      </c>
      <c r="E47" s="29" t="str">
        <f t="shared" si="1"/>
        <v>05_09</v>
      </c>
      <c r="F47" s="29">
        <f>VLOOKUP(A47,POPN!$A$1:$B$39,2,FALSE)*(1+GROWTH!C47)</f>
        <v>13574.28126870137</v>
      </c>
    </row>
    <row r="48" spans="1:6" x14ac:dyDescent="0.25">
      <c r="A48" t="s">
        <v>22</v>
      </c>
      <c r="B48">
        <v>2042</v>
      </c>
      <c r="C48">
        <v>-0.106496734862983</v>
      </c>
      <c r="D48" s="29" t="str">
        <f t="shared" si="0"/>
        <v>M</v>
      </c>
      <c r="E48" s="29" t="str">
        <f t="shared" si="1"/>
        <v>05_09</v>
      </c>
      <c r="F48" s="29">
        <f>VLOOKUP(A48,POPN!$A$1:$B$39,2,FALSE)*(1+GROWTH!C48)</f>
        <v>13609.841734567042</v>
      </c>
    </row>
    <row r="49" spans="1:6" x14ac:dyDescent="0.25">
      <c r="A49" t="s">
        <v>22</v>
      </c>
      <c r="B49">
        <v>2043</v>
      </c>
      <c r="C49">
        <v>-0.10341244632088401</v>
      </c>
      <c r="D49" s="29" t="str">
        <f t="shared" si="0"/>
        <v>M</v>
      </c>
      <c r="E49" s="29" t="str">
        <f t="shared" si="1"/>
        <v>05_09</v>
      </c>
      <c r="F49" s="29">
        <f>VLOOKUP(A49,POPN!$A$1:$B$39,2,FALSE)*(1+GROWTH!C49)</f>
        <v>13656.821617640295</v>
      </c>
    </row>
    <row r="50" spans="1:6" x14ac:dyDescent="0.25">
      <c r="A50" t="s">
        <v>22</v>
      </c>
      <c r="B50">
        <v>2044</v>
      </c>
      <c r="C50">
        <v>-9.9775747890649205E-2</v>
      </c>
      <c r="D50" s="29" t="str">
        <f t="shared" si="0"/>
        <v>M</v>
      </c>
      <c r="E50" s="29" t="str">
        <f t="shared" si="1"/>
        <v>05_09</v>
      </c>
      <c r="F50" s="29">
        <f>VLOOKUP(A50,POPN!$A$1:$B$39,2,FALSE)*(1+GROWTH!C50)</f>
        <v>13712.215808129631</v>
      </c>
    </row>
    <row r="51" spans="1:6" x14ac:dyDescent="0.25">
      <c r="A51" t="s">
        <v>22</v>
      </c>
      <c r="B51">
        <v>2045</v>
      </c>
      <c r="C51">
        <v>-9.5777352509847993E-2</v>
      </c>
      <c r="D51" s="29" t="str">
        <f t="shared" si="0"/>
        <v>M</v>
      </c>
      <c r="E51" s="29" t="str">
        <f t="shared" si="1"/>
        <v>05_09</v>
      </c>
      <c r="F51" s="29">
        <f>VLOOKUP(A51,POPN!$A$1:$B$39,2,FALSE)*(1+GROWTH!C51)</f>
        <v>13773.119366569996</v>
      </c>
    </row>
    <row r="52" spans="1:6" x14ac:dyDescent="0.25">
      <c r="A52" t="s">
        <v>22</v>
      </c>
      <c r="B52">
        <v>2046</v>
      </c>
      <c r="C52">
        <v>-9.1594820499667995E-2</v>
      </c>
      <c r="D52" s="29" t="str">
        <f t="shared" si="0"/>
        <v>M</v>
      </c>
      <c r="E52" s="29" t="str">
        <f t="shared" si="1"/>
        <v>05_09</v>
      </c>
      <c r="F52" s="29">
        <f>VLOOKUP(A52,POPN!$A$1:$B$39,2,FALSE)*(1+GROWTH!C52)</f>
        <v>13836.827694149059</v>
      </c>
    </row>
    <row r="53" spans="1:6" x14ac:dyDescent="0.25">
      <c r="A53" t="s">
        <v>22</v>
      </c>
      <c r="B53">
        <v>2047</v>
      </c>
      <c r="C53">
        <v>-8.7478051571408894E-2</v>
      </c>
      <c r="D53" s="29" t="str">
        <f t="shared" si="0"/>
        <v>M</v>
      </c>
      <c r="E53" s="29" t="str">
        <f t="shared" si="1"/>
        <v>05_09</v>
      </c>
      <c r="F53" s="29">
        <f>VLOOKUP(A53,POPN!$A$1:$B$39,2,FALSE)*(1+GROWTH!C53)</f>
        <v>13899.534318464301</v>
      </c>
    </row>
    <row r="54" spans="1:6" x14ac:dyDescent="0.25">
      <c r="A54" t="s">
        <v>23</v>
      </c>
      <c r="B54">
        <v>2022</v>
      </c>
      <c r="C54">
        <v>6.3255427196863999E-3</v>
      </c>
      <c r="D54" s="29" t="str">
        <f t="shared" si="0"/>
        <v>M</v>
      </c>
      <c r="E54" s="29" t="str">
        <f t="shared" si="1"/>
        <v>10_14</v>
      </c>
      <c r="F54" s="29">
        <f>VLOOKUP(A54,POPN!$A$1:$B$39,2,FALSE)*(1+GROWTH!C54)</f>
        <v>17640.886763876104</v>
      </c>
    </row>
    <row r="55" spans="1:6" x14ac:dyDescent="0.25">
      <c r="A55" t="s">
        <v>23</v>
      </c>
      <c r="B55">
        <v>2023</v>
      </c>
      <c r="C55">
        <v>3.2667122026549499E-3</v>
      </c>
      <c r="D55" s="29" t="str">
        <f t="shared" si="0"/>
        <v>M</v>
      </c>
      <c r="E55" s="29" t="str">
        <f t="shared" si="1"/>
        <v>10_14</v>
      </c>
      <c r="F55" s="29">
        <f>VLOOKUP(A55,POPN!$A$1:$B$39,2,FALSE)*(1+GROWTH!C55)</f>
        <v>17587.26546491254</v>
      </c>
    </row>
    <row r="56" spans="1:6" x14ac:dyDescent="0.25">
      <c r="A56" t="s">
        <v>23</v>
      </c>
      <c r="B56">
        <v>2024</v>
      </c>
      <c r="C56">
        <v>3.8606598758649398E-3</v>
      </c>
      <c r="D56" s="29" t="str">
        <f t="shared" si="0"/>
        <v>M</v>
      </c>
      <c r="E56" s="29" t="str">
        <f t="shared" si="1"/>
        <v>10_14</v>
      </c>
      <c r="F56" s="29">
        <f>VLOOKUP(A56,POPN!$A$1:$B$39,2,FALSE)*(1+GROWTH!C56)</f>
        <v>17597.677367623914</v>
      </c>
    </row>
    <row r="57" spans="1:6" x14ac:dyDescent="0.25">
      <c r="A57" t="s">
        <v>23</v>
      </c>
      <c r="B57">
        <v>2025</v>
      </c>
      <c r="C57">
        <v>0</v>
      </c>
      <c r="D57" s="29" t="str">
        <f t="shared" si="0"/>
        <v>M</v>
      </c>
      <c r="E57" s="29" t="str">
        <f t="shared" si="1"/>
        <v>10_14</v>
      </c>
      <c r="F57" s="29">
        <f>VLOOKUP(A57,POPN!$A$1:$B$39,2,FALSE)*(1+GROWTH!C57)</f>
        <v>17530</v>
      </c>
    </row>
    <row r="58" spans="1:6" x14ac:dyDescent="0.25">
      <c r="A58" t="s">
        <v>23</v>
      </c>
      <c r="B58">
        <v>2026</v>
      </c>
      <c r="C58">
        <v>-3.89629673625745E-3</v>
      </c>
      <c r="D58" s="29" t="str">
        <f t="shared" si="0"/>
        <v>M</v>
      </c>
      <c r="E58" s="29" t="str">
        <f t="shared" si="1"/>
        <v>10_14</v>
      </c>
      <c r="F58" s="29">
        <f>VLOOKUP(A58,POPN!$A$1:$B$39,2,FALSE)*(1+GROWTH!C58)</f>
        <v>17461.697918213406</v>
      </c>
    </row>
    <row r="59" spans="1:6" x14ac:dyDescent="0.25">
      <c r="A59" t="s">
        <v>23</v>
      </c>
      <c r="B59">
        <v>2027</v>
      </c>
      <c r="C59">
        <v>-1.6464229501381E-2</v>
      </c>
      <c r="D59" s="29" t="str">
        <f t="shared" si="0"/>
        <v>M</v>
      </c>
      <c r="E59" s="29" t="str">
        <f t="shared" si="1"/>
        <v>10_14</v>
      </c>
      <c r="F59" s="29">
        <f>VLOOKUP(A59,POPN!$A$1:$B$39,2,FALSE)*(1+GROWTH!C59)</f>
        <v>17241.38205684079</v>
      </c>
    </row>
    <row r="60" spans="1:6" x14ac:dyDescent="0.25">
      <c r="A60" t="s">
        <v>23</v>
      </c>
      <c r="B60">
        <v>2028</v>
      </c>
      <c r="C60">
        <v>-2.7256258723606399E-2</v>
      </c>
      <c r="D60" s="29" t="str">
        <f t="shared" si="0"/>
        <v>M</v>
      </c>
      <c r="E60" s="29" t="str">
        <f t="shared" si="1"/>
        <v>10_14</v>
      </c>
      <c r="F60" s="29">
        <f>VLOOKUP(A60,POPN!$A$1:$B$39,2,FALSE)*(1+GROWTH!C60)</f>
        <v>17052.197784575179</v>
      </c>
    </row>
    <row r="61" spans="1:6" x14ac:dyDescent="0.25">
      <c r="A61" t="s">
        <v>23</v>
      </c>
      <c r="B61">
        <v>2029</v>
      </c>
      <c r="C61">
        <v>-3.7935437887922099E-2</v>
      </c>
      <c r="D61" s="29" t="str">
        <f t="shared" si="0"/>
        <v>M</v>
      </c>
      <c r="E61" s="29" t="str">
        <f t="shared" si="1"/>
        <v>10_14</v>
      </c>
      <c r="F61" s="29">
        <f>VLOOKUP(A61,POPN!$A$1:$B$39,2,FALSE)*(1+GROWTH!C61)</f>
        <v>16864.991773824724</v>
      </c>
    </row>
    <row r="62" spans="1:6" x14ac:dyDescent="0.25">
      <c r="A62" t="s">
        <v>23</v>
      </c>
      <c r="B62">
        <v>2030</v>
      </c>
      <c r="C62">
        <v>-4.5644878686187697E-2</v>
      </c>
      <c r="D62" s="29" t="str">
        <f t="shared" si="0"/>
        <v>M</v>
      </c>
      <c r="E62" s="29" t="str">
        <f t="shared" si="1"/>
        <v>10_14</v>
      </c>
      <c r="F62" s="29">
        <f>VLOOKUP(A62,POPN!$A$1:$B$39,2,FALSE)*(1+GROWTH!C62)</f>
        <v>16729.845276631131</v>
      </c>
    </row>
    <row r="63" spans="1:6" x14ac:dyDescent="0.25">
      <c r="A63" t="s">
        <v>23</v>
      </c>
      <c r="B63">
        <v>2031</v>
      </c>
      <c r="C63">
        <v>-5.8723606450271797E-2</v>
      </c>
      <c r="D63" s="29" t="str">
        <f t="shared" si="0"/>
        <v>M</v>
      </c>
      <c r="E63" s="29" t="str">
        <f t="shared" si="1"/>
        <v>10_14</v>
      </c>
      <c r="F63" s="29">
        <f>VLOOKUP(A63,POPN!$A$1:$B$39,2,FALSE)*(1+GROWTH!C63)</f>
        <v>16500.575178926738</v>
      </c>
    </row>
    <row r="64" spans="1:6" x14ac:dyDescent="0.25">
      <c r="A64" t="s">
        <v>23</v>
      </c>
      <c r="B64">
        <v>2032</v>
      </c>
      <c r="C64">
        <v>-6.9788851602173907E-2</v>
      </c>
      <c r="D64" s="29" t="str">
        <f t="shared" si="0"/>
        <v>M</v>
      </c>
      <c r="E64" s="29" t="str">
        <f t="shared" si="1"/>
        <v>10_14</v>
      </c>
      <c r="F64" s="29">
        <f>VLOOKUP(A64,POPN!$A$1:$B$39,2,FALSE)*(1+GROWTH!C64)</f>
        <v>16306.601431413892</v>
      </c>
    </row>
    <row r="65" spans="1:6" x14ac:dyDescent="0.25">
      <c r="A65" t="s">
        <v>23</v>
      </c>
      <c r="B65">
        <v>2033</v>
      </c>
      <c r="C65">
        <v>-8.6080836278323802E-2</v>
      </c>
      <c r="D65" s="29" t="str">
        <f t="shared" si="0"/>
        <v>M</v>
      </c>
      <c r="E65" s="29" t="str">
        <f t="shared" si="1"/>
        <v>10_14</v>
      </c>
      <c r="F65" s="29">
        <f>VLOOKUP(A65,POPN!$A$1:$B$39,2,FALSE)*(1+GROWTH!C65)</f>
        <v>16021.002940040982</v>
      </c>
    </row>
    <row r="66" spans="1:6" x14ac:dyDescent="0.25">
      <c r="A66" t="s">
        <v>23</v>
      </c>
      <c r="B66">
        <v>2034</v>
      </c>
      <c r="C66">
        <v>-0.10173729694413899</v>
      </c>
      <c r="D66" s="29" t="str">
        <f t="shared" si="0"/>
        <v>M</v>
      </c>
      <c r="E66" s="29" t="str">
        <f t="shared" si="1"/>
        <v>10_14</v>
      </c>
      <c r="F66" s="29">
        <f>VLOOKUP(A66,POPN!$A$1:$B$39,2,FALSE)*(1+GROWTH!C66)</f>
        <v>15746.545184569242</v>
      </c>
    </row>
    <row r="67" spans="1:6" x14ac:dyDescent="0.25">
      <c r="A67" t="s">
        <v>23</v>
      </c>
      <c r="B67">
        <v>2035</v>
      </c>
      <c r="C67">
        <v>-0.118943961037033</v>
      </c>
      <c r="D67" s="29" t="str">
        <f t="shared" ref="D67:D130" si="2">LEFT(A67,1)</f>
        <v>M</v>
      </c>
      <c r="E67" s="29" t="str">
        <f t="shared" ref="E67:E130" si="3">MID(A67,3,LEN(A67)-2)</f>
        <v>10_14</v>
      </c>
      <c r="F67" s="29">
        <f>VLOOKUP(A67,POPN!$A$1:$B$39,2,FALSE)*(1+GROWTH!C67)</f>
        <v>15444.912363020812</v>
      </c>
    </row>
    <row r="68" spans="1:6" x14ac:dyDescent="0.25">
      <c r="A68" t="s">
        <v>23</v>
      </c>
      <c r="B68">
        <v>2036</v>
      </c>
      <c r="C68">
        <v>-0.13307991565943</v>
      </c>
      <c r="D68" s="29" t="str">
        <f t="shared" si="2"/>
        <v>M</v>
      </c>
      <c r="E68" s="29" t="str">
        <f t="shared" si="3"/>
        <v>10_14</v>
      </c>
      <c r="F68" s="29">
        <f>VLOOKUP(A68,POPN!$A$1:$B$39,2,FALSE)*(1+GROWTH!C68)</f>
        <v>15197.109078490192</v>
      </c>
    </row>
    <row r="69" spans="1:6" x14ac:dyDescent="0.25">
      <c r="A69" t="s">
        <v>23</v>
      </c>
      <c r="B69">
        <v>2037</v>
      </c>
      <c r="C69">
        <v>-0.141502093665548</v>
      </c>
      <c r="D69" s="29" t="str">
        <f t="shared" si="2"/>
        <v>M</v>
      </c>
      <c r="E69" s="29" t="str">
        <f t="shared" si="3"/>
        <v>10_14</v>
      </c>
      <c r="F69" s="29">
        <f>VLOOKUP(A69,POPN!$A$1:$B$39,2,FALSE)*(1+GROWTH!C69)</f>
        <v>15049.468298042944</v>
      </c>
    </row>
    <row r="70" spans="1:6" x14ac:dyDescent="0.25">
      <c r="A70" t="s">
        <v>23</v>
      </c>
      <c r="B70">
        <v>2038</v>
      </c>
      <c r="C70">
        <v>-0.142351438838238</v>
      </c>
      <c r="D70" s="29" t="str">
        <f t="shared" si="2"/>
        <v>M</v>
      </c>
      <c r="E70" s="29" t="str">
        <f t="shared" si="3"/>
        <v>10_14</v>
      </c>
      <c r="F70" s="29">
        <f>VLOOKUP(A70,POPN!$A$1:$B$39,2,FALSE)*(1+GROWTH!C70)</f>
        <v>15034.579277165689</v>
      </c>
    </row>
    <row r="71" spans="1:6" x14ac:dyDescent="0.25">
      <c r="A71" t="s">
        <v>23</v>
      </c>
      <c r="B71">
        <v>2039</v>
      </c>
      <c r="C71">
        <v>-0.14265435215157499</v>
      </c>
      <c r="D71" s="29" t="str">
        <f t="shared" si="2"/>
        <v>M</v>
      </c>
      <c r="E71" s="29" t="str">
        <f t="shared" si="3"/>
        <v>10_14</v>
      </c>
      <c r="F71" s="29">
        <f>VLOOKUP(A71,POPN!$A$1:$B$39,2,FALSE)*(1+GROWTH!C71)</f>
        <v>15029.26920678289</v>
      </c>
    </row>
    <row r="72" spans="1:6" x14ac:dyDescent="0.25">
      <c r="A72" t="s">
        <v>23</v>
      </c>
      <c r="B72">
        <v>2040</v>
      </c>
      <c r="C72">
        <v>-0.14356309209158699</v>
      </c>
      <c r="D72" s="29" t="str">
        <f t="shared" si="2"/>
        <v>M</v>
      </c>
      <c r="E72" s="29" t="str">
        <f t="shared" si="3"/>
        <v>10_14</v>
      </c>
      <c r="F72" s="29">
        <f>VLOOKUP(A72,POPN!$A$1:$B$39,2,FALSE)*(1+GROWTH!C72)</f>
        <v>15013.33899563448</v>
      </c>
    </row>
    <row r="73" spans="1:6" x14ac:dyDescent="0.25">
      <c r="A73" t="s">
        <v>23</v>
      </c>
      <c r="B73">
        <v>2041</v>
      </c>
      <c r="C73">
        <v>-0.14441837674100899</v>
      </c>
      <c r="D73" s="29" t="str">
        <f t="shared" si="2"/>
        <v>M</v>
      </c>
      <c r="E73" s="29" t="str">
        <f t="shared" si="3"/>
        <v>10_14</v>
      </c>
      <c r="F73" s="29">
        <f>VLOOKUP(A73,POPN!$A$1:$B$39,2,FALSE)*(1+GROWTH!C73)</f>
        <v>14998.345855730113</v>
      </c>
    </row>
    <row r="74" spans="1:6" x14ac:dyDescent="0.25">
      <c r="A74" t="s">
        <v>23</v>
      </c>
      <c r="B74">
        <v>2042</v>
      </c>
      <c r="C74">
        <v>-0.144739108484542</v>
      </c>
      <c r="D74" s="29" t="str">
        <f t="shared" si="2"/>
        <v>M</v>
      </c>
      <c r="E74" s="29" t="str">
        <f t="shared" si="3"/>
        <v>10_14</v>
      </c>
      <c r="F74" s="29">
        <f>VLOOKUP(A74,POPN!$A$1:$B$39,2,FALSE)*(1+GROWTH!C74)</f>
        <v>14992.723428265979</v>
      </c>
    </row>
    <row r="75" spans="1:6" x14ac:dyDescent="0.25">
      <c r="A75" t="s">
        <v>23</v>
      </c>
      <c r="B75">
        <v>2043</v>
      </c>
      <c r="C75">
        <v>-0.144798503251863</v>
      </c>
      <c r="D75" s="29" t="str">
        <f t="shared" si="2"/>
        <v>M</v>
      </c>
      <c r="E75" s="29" t="str">
        <f t="shared" si="3"/>
        <v>10_14</v>
      </c>
      <c r="F75" s="29">
        <f>VLOOKUP(A75,POPN!$A$1:$B$39,2,FALSE)*(1+GROWTH!C75)</f>
        <v>14991.682237994841</v>
      </c>
    </row>
    <row r="76" spans="1:6" x14ac:dyDescent="0.25">
      <c r="A76" t="s">
        <v>23</v>
      </c>
      <c r="B76">
        <v>2044</v>
      </c>
      <c r="C76">
        <v>-0.144394618834081</v>
      </c>
      <c r="D76" s="29" t="str">
        <f t="shared" si="2"/>
        <v>M</v>
      </c>
      <c r="E76" s="29" t="str">
        <f t="shared" si="3"/>
        <v>10_14</v>
      </c>
      <c r="F76" s="29">
        <f>VLOOKUP(A76,POPN!$A$1:$B$39,2,FALSE)*(1+GROWTH!C76)</f>
        <v>14998.762331838559</v>
      </c>
    </row>
    <row r="77" spans="1:6" x14ac:dyDescent="0.25">
      <c r="A77" t="s">
        <v>23</v>
      </c>
      <c r="B77">
        <v>2045</v>
      </c>
      <c r="C77">
        <v>-0.143408665696552</v>
      </c>
      <c r="D77" s="29" t="str">
        <f t="shared" si="2"/>
        <v>M</v>
      </c>
      <c r="E77" s="29" t="str">
        <f t="shared" si="3"/>
        <v>10_14</v>
      </c>
      <c r="F77" s="29">
        <f>VLOOKUP(A77,POPN!$A$1:$B$39,2,FALSE)*(1+GROWTH!C77)</f>
        <v>15016.046090339443</v>
      </c>
    </row>
    <row r="78" spans="1:6" x14ac:dyDescent="0.25">
      <c r="A78" t="s">
        <v>23</v>
      </c>
      <c r="B78">
        <v>2046</v>
      </c>
      <c r="C78">
        <v>-0.141757491165028</v>
      </c>
      <c r="D78" s="29" t="str">
        <f t="shared" si="2"/>
        <v>M</v>
      </c>
      <c r="E78" s="29" t="str">
        <f t="shared" si="3"/>
        <v>10_14</v>
      </c>
      <c r="F78" s="29">
        <f>VLOOKUP(A78,POPN!$A$1:$B$39,2,FALSE)*(1+GROWTH!C78)</f>
        <v>15044.991179877059</v>
      </c>
    </row>
    <row r="79" spans="1:6" x14ac:dyDescent="0.25">
      <c r="A79" t="s">
        <v>23</v>
      </c>
      <c r="B79">
        <v>2047</v>
      </c>
      <c r="C79">
        <v>-0.139340124135064</v>
      </c>
      <c r="D79" s="29" t="str">
        <f t="shared" si="2"/>
        <v>M</v>
      </c>
      <c r="E79" s="29" t="str">
        <f t="shared" si="3"/>
        <v>10_14</v>
      </c>
      <c r="F79" s="29">
        <f>VLOOKUP(A79,POPN!$A$1:$B$39,2,FALSE)*(1+GROWTH!C79)</f>
        <v>15087.367623912327</v>
      </c>
    </row>
    <row r="80" spans="1:6" x14ac:dyDescent="0.25">
      <c r="A80" t="s">
        <v>24</v>
      </c>
      <c r="B80">
        <v>2022</v>
      </c>
      <c r="C80">
        <v>-3.2911514508437503E-2</v>
      </c>
      <c r="D80" s="29" t="str">
        <f t="shared" si="2"/>
        <v>M</v>
      </c>
      <c r="E80" s="29" t="str">
        <f t="shared" si="3"/>
        <v>15_19</v>
      </c>
      <c r="F80" s="29">
        <f>VLOOKUP(A80,POPN!$A$1:$B$39,2,FALSE)*(1+GROWTH!C80)</f>
        <v>17376.645907312395</v>
      </c>
    </row>
    <row r="81" spans="1:6" x14ac:dyDescent="0.25">
      <c r="A81" t="s">
        <v>24</v>
      </c>
      <c r="B81">
        <v>2023</v>
      </c>
      <c r="C81">
        <v>-2.0142401533740601E-2</v>
      </c>
      <c r="D81" s="29" t="str">
        <f t="shared" si="2"/>
        <v>M</v>
      </c>
      <c r="E81" s="29" t="str">
        <f t="shared" si="3"/>
        <v>15_19</v>
      </c>
      <c r="F81" s="29">
        <f>VLOOKUP(A81,POPN!$A$1:$B$39,2,FALSE)*(1+GROWTH!C81)</f>
        <v>17606.081329241748</v>
      </c>
    </row>
    <row r="82" spans="1:6" x14ac:dyDescent="0.25">
      <c r="A82" t="s">
        <v>24</v>
      </c>
      <c r="B82">
        <v>2024</v>
      </c>
      <c r="C82">
        <v>-9.0010791648833105E-3</v>
      </c>
      <c r="D82" s="29" t="str">
        <f t="shared" si="2"/>
        <v>M</v>
      </c>
      <c r="E82" s="29" t="str">
        <f t="shared" si="3"/>
        <v>15_19</v>
      </c>
      <c r="F82" s="29">
        <f>VLOOKUP(A82,POPN!$A$1:$B$39,2,FALSE)*(1+GROWTH!C82)</f>
        <v>17806.268609565377</v>
      </c>
    </row>
    <row r="83" spans="1:6" x14ac:dyDescent="0.25">
      <c r="A83" t="s">
        <v>24</v>
      </c>
      <c r="B83">
        <v>2025</v>
      </c>
      <c r="C83">
        <v>0</v>
      </c>
      <c r="D83" s="29" t="str">
        <f t="shared" si="2"/>
        <v>M</v>
      </c>
      <c r="E83" s="29" t="str">
        <f t="shared" si="3"/>
        <v>15_19</v>
      </c>
      <c r="F83" s="29">
        <f>VLOOKUP(A83,POPN!$A$1:$B$39,2,FALSE)*(1+GROWTH!C83)</f>
        <v>17968</v>
      </c>
    </row>
    <row r="84" spans="1:6" x14ac:dyDescent="0.25">
      <c r="A84" t="s">
        <v>24</v>
      </c>
      <c r="B84">
        <v>2026</v>
      </c>
      <c r="C84">
        <v>9.6521954072188599E-3</v>
      </c>
      <c r="D84" s="29" t="str">
        <f t="shared" si="2"/>
        <v>M</v>
      </c>
      <c r="E84" s="29" t="str">
        <f t="shared" si="3"/>
        <v>15_19</v>
      </c>
      <c r="F84" s="29">
        <f>VLOOKUP(A84,POPN!$A$1:$B$39,2,FALSE)*(1+GROWTH!C84)</f>
        <v>18141.430647076908</v>
      </c>
    </row>
    <row r="85" spans="1:6" x14ac:dyDescent="0.25">
      <c r="A85" t="s">
        <v>24</v>
      </c>
      <c r="B85">
        <v>2027</v>
      </c>
      <c r="C85">
        <v>1.25279588108688E-2</v>
      </c>
      <c r="D85" s="29" t="str">
        <f t="shared" si="2"/>
        <v>M</v>
      </c>
      <c r="E85" s="29" t="str">
        <f t="shared" si="3"/>
        <v>15_19</v>
      </c>
      <c r="F85" s="29">
        <f>VLOOKUP(A85,POPN!$A$1:$B$39,2,FALSE)*(1+GROWTH!C85)</f>
        <v>18193.102363913691</v>
      </c>
    </row>
    <row r="86" spans="1:6" x14ac:dyDescent="0.25">
      <c r="A86" t="s">
        <v>24</v>
      </c>
      <c r="B86">
        <v>2028</v>
      </c>
      <c r="C86">
        <v>6.80657627404746E-3</v>
      </c>
      <c r="D86" s="29" t="str">
        <f t="shared" si="2"/>
        <v>M</v>
      </c>
      <c r="E86" s="29" t="str">
        <f t="shared" si="3"/>
        <v>15_19</v>
      </c>
      <c r="F86" s="29">
        <f>VLOOKUP(A86,POPN!$A$1:$B$39,2,FALSE)*(1+GROWTH!C86)</f>
        <v>18090.300562492084</v>
      </c>
    </row>
    <row r="87" spans="1:6" x14ac:dyDescent="0.25">
      <c r="A87" t="s">
        <v>24</v>
      </c>
      <c r="B87">
        <v>2029</v>
      </c>
      <c r="C87">
        <v>3.52085079188985E-3</v>
      </c>
      <c r="D87" s="29" t="str">
        <f t="shared" si="2"/>
        <v>M</v>
      </c>
      <c r="E87" s="29" t="str">
        <f t="shared" si="3"/>
        <v>15_19</v>
      </c>
      <c r="F87" s="29">
        <f>VLOOKUP(A87,POPN!$A$1:$B$39,2,FALSE)*(1+GROWTH!C87)</f>
        <v>18031.262647028674</v>
      </c>
    </row>
    <row r="88" spans="1:6" x14ac:dyDescent="0.25">
      <c r="A88" t="s">
        <v>24</v>
      </c>
      <c r="B88">
        <v>2030</v>
      </c>
      <c r="C88">
        <v>-1.5916174812654199E-3</v>
      </c>
      <c r="D88" s="29" t="str">
        <f t="shared" si="2"/>
        <v>M</v>
      </c>
      <c r="E88" s="29" t="str">
        <f t="shared" si="3"/>
        <v>15_19</v>
      </c>
      <c r="F88" s="29">
        <f>VLOOKUP(A88,POPN!$A$1:$B$39,2,FALSE)*(1+GROWTH!C88)</f>
        <v>17939.401817096623</v>
      </c>
    </row>
    <row r="89" spans="1:6" x14ac:dyDescent="0.25">
      <c r="A89" t="s">
        <v>24</v>
      </c>
      <c r="B89">
        <v>2031</v>
      </c>
      <c r="C89">
        <v>-5.6068343090028899E-3</v>
      </c>
      <c r="D89" s="29" t="str">
        <f t="shared" si="2"/>
        <v>M</v>
      </c>
      <c r="E89" s="29" t="str">
        <f t="shared" si="3"/>
        <v>15_19</v>
      </c>
      <c r="F89" s="29">
        <f>VLOOKUP(A89,POPN!$A$1:$B$39,2,FALSE)*(1+GROWTH!C89)</f>
        <v>17867.256401135837</v>
      </c>
    </row>
    <row r="90" spans="1:6" x14ac:dyDescent="0.25">
      <c r="A90" t="s">
        <v>24</v>
      </c>
      <c r="B90">
        <v>2032</v>
      </c>
      <c r="C90">
        <v>-1.7730859895459802E-2</v>
      </c>
      <c r="D90" s="29" t="str">
        <f t="shared" si="2"/>
        <v>M</v>
      </c>
      <c r="E90" s="29" t="str">
        <f t="shared" si="3"/>
        <v>15_19</v>
      </c>
      <c r="F90" s="29">
        <f>VLOOKUP(A90,POPN!$A$1:$B$39,2,FALSE)*(1+GROWTH!C90)</f>
        <v>17649.411909398379</v>
      </c>
    </row>
    <row r="91" spans="1:6" x14ac:dyDescent="0.25">
      <c r="A91" t="s">
        <v>24</v>
      </c>
      <c r="B91">
        <v>2033</v>
      </c>
      <c r="C91">
        <v>-2.8492364456287899E-2</v>
      </c>
      <c r="D91" s="29" t="str">
        <f t="shared" si="2"/>
        <v>M</v>
      </c>
      <c r="E91" s="29" t="str">
        <f t="shared" si="3"/>
        <v>15_19</v>
      </c>
      <c r="F91" s="29">
        <f>VLOOKUP(A91,POPN!$A$1:$B$39,2,FALSE)*(1+GROWTH!C91)</f>
        <v>17456.049195449421</v>
      </c>
    </row>
    <row r="92" spans="1:6" x14ac:dyDescent="0.25">
      <c r="A92" t="s">
        <v>24</v>
      </c>
      <c r="B92">
        <v>2034</v>
      </c>
      <c r="C92">
        <v>-3.9060945686053498E-2</v>
      </c>
      <c r="D92" s="29" t="str">
        <f t="shared" si="2"/>
        <v>M</v>
      </c>
      <c r="E92" s="29" t="str">
        <f t="shared" si="3"/>
        <v>15_19</v>
      </c>
      <c r="F92" s="29">
        <f>VLOOKUP(A92,POPN!$A$1:$B$39,2,FALSE)*(1+GROWTH!C92)</f>
        <v>17266.15292791299</v>
      </c>
    </row>
    <row r="93" spans="1:6" x14ac:dyDescent="0.25">
      <c r="A93" t="s">
        <v>24</v>
      </c>
      <c r="B93">
        <v>2035</v>
      </c>
      <c r="C93">
        <v>-4.7609860793759E-2</v>
      </c>
      <c r="D93" s="29" t="str">
        <f t="shared" si="2"/>
        <v>M</v>
      </c>
      <c r="E93" s="29" t="str">
        <f t="shared" si="3"/>
        <v>15_19</v>
      </c>
      <c r="F93" s="29">
        <f>VLOOKUP(A93,POPN!$A$1:$B$39,2,FALSE)*(1+GROWTH!C93)</f>
        <v>17112.546021257738</v>
      </c>
    </row>
    <row r="94" spans="1:6" x14ac:dyDescent="0.25">
      <c r="A94" t="s">
        <v>24</v>
      </c>
      <c r="B94">
        <v>2036</v>
      </c>
      <c r="C94">
        <v>-5.94143571131436E-2</v>
      </c>
      <c r="D94" s="29" t="str">
        <f t="shared" si="2"/>
        <v>M</v>
      </c>
      <c r="E94" s="29" t="str">
        <f t="shared" si="3"/>
        <v>15_19</v>
      </c>
      <c r="F94" s="29">
        <f>VLOOKUP(A94,POPN!$A$1:$B$39,2,FALSE)*(1+GROWTH!C94)</f>
        <v>16900.442831391036</v>
      </c>
    </row>
    <row r="95" spans="1:6" x14ac:dyDescent="0.25">
      <c r="A95" t="s">
        <v>24</v>
      </c>
      <c r="B95">
        <v>2037</v>
      </c>
      <c r="C95">
        <v>-7.0212034798546E-2</v>
      </c>
      <c r="D95" s="29" t="str">
        <f t="shared" si="2"/>
        <v>M</v>
      </c>
      <c r="E95" s="29" t="str">
        <f t="shared" si="3"/>
        <v>15_19</v>
      </c>
      <c r="F95" s="29">
        <f>VLOOKUP(A95,POPN!$A$1:$B$39,2,FALSE)*(1+GROWTH!C95)</f>
        <v>16706.430158739724</v>
      </c>
    </row>
    <row r="96" spans="1:6" x14ac:dyDescent="0.25">
      <c r="A96" t="s">
        <v>24</v>
      </c>
      <c r="B96">
        <v>2038</v>
      </c>
      <c r="C96">
        <v>-8.7104883974703007E-2</v>
      </c>
      <c r="D96" s="29" t="str">
        <f t="shared" si="2"/>
        <v>M</v>
      </c>
      <c r="E96" s="29" t="str">
        <f t="shared" si="3"/>
        <v>15_19</v>
      </c>
      <c r="F96" s="29">
        <f>VLOOKUP(A96,POPN!$A$1:$B$39,2,FALSE)*(1+GROWTH!C96)</f>
        <v>16402.899444742536</v>
      </c>
    </row>
    <row r="97" spans="1:6" x14ac:dyDescent="0.25">
      <c r="A97" t="s">
        <v>24</v>
      </c>
      <c r="B97">
        <v>2039</v>
      </c>
      <c r="C97">
        <v>-0.103527482531395</v>
      </c>
      <c r="D97" s="29" t="str">
        <f t="shared" si="2"/>
        <v>M</v>
      </c>
      <c r="E97" s="29" t="str">
        <f t="shared" si="3"/>
        <v>15_19</v>
      </c>
      <c r="F97" s="29">
        <f>VLOOKUP(A97,POPN!$A$1:$B$39,2,FALSE)*(1+GROWTH!C97)</f>
        <v>16107.818193875895</v>
      </c>
    </row>
    <row r="98" spans="1:6" x14ac:dyDescent="0.25">
      <c r="A98" t="s">
        <v>24</v>
      </c>
      <c r="B98">
        <v>2040</v>
      </c>
      <c r="C98">
        <v>-0.11919044547202901</v>
      </c>
      <c r="D98" s="29" t="str">
        <f t="shared" si="2"/>
        <v>M</v>
      </c>
      <c r="E98" s="29" t="str">
        <f t="shared" si="3"/>
        <v>15_19</v>
      </c>
      <c r="F98" s="29">
        <f>VLOOKUP(A98,POPN!$A$1:$B$39,2,FALSE)*(1+GROWTH!C98)</f>
        <v>15826.386075758584</v>
      </c>
    </row>
    <row r="99" spans="1:6" x14ac:dyDescent="0.25">
      <c r="A99" t="s">
        <v>24</v>
      </c>
      <c r="B99">
        <v>2041</v>
      </c>
      <c r="C99">
        <v>-0.13063923939976699</v>
      </c>
      <c r="D99" s="29" t="str">
        <f t="shared" si="2"/>
        <v>M</v>
      </c>
      <c r="E99" s="29" t="str">
        <f t="shared" si="3"/>
        <v>15_19</v>
      </c>
      <c r="F99" s="29">
        <f>VLOOKUP(A99,POPN!$A$1:$B$39,2,FALSE)*(1+GROWTH!C99)</f>
        <v>15620.674146464988</v>
      </c>
    </row>
    <row r="100" spans="1:6" x14ac:dyDescent="0.25">
      <c r="A100" t="s">
        <v>24</v>
      </c>
      <c r="B100">
        <v>2042</v>
      </c>
      <c r="C100">
        <v>-0.137198632655891</v>
      </c>
      <c r="D100" s="29" t="str">
        <f t="shared" si="2"/>
        <v>M</v>
      </c>
      <c r="E100" s="29" t="str">
        <f t="shared" si="3"/>
        <v>15_19</v>
      </c>
      <c r="F100" s="29">
        <f>VLOOKUP(A100,POPN!$A$1:$B$39,2,FALSE)*(1+GROWTH!C100)</f>
        <v>15502.814968438952</v>
      </c>
    </row>
    <row r="101" spans="1:6" x14ac:dyDescent="0.25">
      <c r="A101" t="s">
        <v>24</v>
      </c>
      <c r="B101">
        <v>2043</v>
      </c>
      <c r="C101">
        <v>-0.137355382862379</v>
      </c>
      <c r="D101" s="29" t="str">
        <f t="shared" si="2"/>
        <v>M</v>
      </c>
      <c r="E101" s="29" t="str">
        <f t="shared" si="3"/>
        <v>15_19</v>
      </c>
      <c r="F101" s="29">
        <f>VLOOKUP(A101,POPN!$A$1:$B$39,2,FALSE)*(1+GROWTH!C101)</f>
        <v>15499.998480728773</v>
      </c>
    </row>
    <row r="102" spans="1:6" x14ac:dyDescent="0.25">
      <c r="A102" t="s">
        <v>24</v>
      </c>
      <c r="B102">
        <v>2044</v>
      </c>
      <c r="C102">
        <v>-0.13754830619344199</v>
      </c>
      <c r="D102" s="29" t="str">
        <f t="shared" si="2"/>
        <v>M</v>
      </c>
      <c r="E102" s="29" t="str">
        <f t="shared" si="3"/>
        <v>15_19</v>
      </c>
      <c r="F102" s="29">
        <f>VLOOKUP(A102,POPN!$A$1:$B$39,2,FALSE)*(1+GROWTH!C102)</f>
        <v>15496.532034316235</v>
      </c>
    </row>
    <row r="103" spans="1:6" x14ac:dyDescent="0.25">
      <c r="A103" t="s">
        <v>24</v>
      </c>
      <c r="B103">
        <v>2045</v>
      </c>
      <c r="C103">
        <v>-0.13824162441444801</v>
      </c>
      <c r="D103" s="29" t="str">
        <f t="shared" si="2"/>
        <v>M</v>
      </c>
      <c r="E103" s="29" t="str">
        <f t="shared" si="3"/>
        <v>15_19</v>
      </c>
      <c r="F103" s="29">
        <f>VLOOKUP(A103,POPN!$A$1:$B$39,2,FALSE)*(1+GROWTH!C103)</f>
        <v>15484.074492521198</v>
      </c>
    </row>
    <row r="104" spans="1:6" x14ac:dyDescent="0.25">
      <c r="A104" t="s">
        <v>24</v>
      </c>
      <c r="B104">
        <v>2046</v>
      </c>
      <c r="C104">
        <v>-0.138778192428965</v>
      </c>
      <c r="D104" s="29" t="str">
        <f t="shared" si="2"/>
        <v>M</v>
      </c>
      <c r="E104" s="29" t="str">
        <f t="shared" si="3"/>
        <v>15_19</v>
      </c>
      <c r="F104" s="29">
        <f>VLOOKUP(A104,POPN!$A$1:$B$39,2,FALSE)*(1+GROWTH!C104)</f>
        <v>15474.433438436356</v>
      </c>
    </row>
    <row r="105" spans="1:6" x14ac:dyDescent="0.25">
      <c r="A105" t="s">
        <v>24</v>
      </c>
      <c r="B105">
        <v>2047</v>
      </c>
      <c r="C105">
        <v>-0.138886711802688</v>
      </c>
      <c r="D105" s="29" t="str">
        <f t="shared" si="2"/>
        <v>M</v>
      </c>
      <c r="E105" s="29" t="str">
        <f t="shared" si="3"/>
        <v>15_19</v>
      </c>
      <c r="F105" s="29">
        <f>VLOOKUP(A105,POPN!$A$1:$B$39,2,FALSE)*(1+GROWTH!C105)</f>
        <v>15472.483562329302</v>
      </c>
    </row>
    <row r="106" spans="1:6" x14ac:dyDescent="0.25">
      <c r="A106" t="s">
        <v>25</v>
      </c>
      <c r="B106">
        <v>2022</v>
      </c>
      <c r="C106">
        <v>5.7997441064027598E-3</v>
      </c>
      <c r="D106" s="29" t="str">
        <f t="shared" si="2"/>
        <v>M</v>
      </c>
      <c r="E106" s="29" t="str">
        <f t="shared" si="3"/>
        <v>20_24</v>
      </c>
      <c r="F106" s="29">
        <f>VLOOKUP(A106,POPN!$A$1:$B$39,2,FALSE)*(1+GROWTH!C106)</f>
        <v>14089.242815442491</v>
      </c>
    </row>
    <row r="107" spans="1:6" x14ac:dyDescent="0.25">
      <c r="A107" t="s">
        <v>25</v>
      </c>
      <c r="B107">
        <v>2023</v>
      </c>
      <c r="C107">
        <v>6.8110601196725096E-3</v>
      </c>
      <c r="D107" s="29" t="str">
        <f t="shared" si="2"/>
        <v>M</v>
      </c>
      <c r="E107" s="29" t="str">
        <f t="shared" si="3"/>
        <v>20_24</v>
      </c>
      <c r="F107" s="29">
        <f>VLOOKUP(A107,POPN!$A$1:$B$39,2,FALSE)*(1+GROWTH!C107)</f>
        <v>14103.409330156372</v>
      </c>
    </row>
    <row r="108" spans="1:6" x14ac:dyDescent="0.25">
      <c r="A108" t="s">
        <v>25</v>
      </c>
      <c r="B108">
        <v>2024</v>
      </c>
      <c r="C108">
        <v>4.4436612704274302E-3</v>
      </c>
      <c r="D108" s="29" t="str">
        <f t="shared" si="2"/>
        <v>M</v>
      </c>
      <c r="E108" s="29" t="str">
        <f t="shared" si="3"/>
        <v>20_24</v>
      </c>
      <c r="F108" s="29">
        <f>VLOOKUP(A108,POPN!$A$1:$B$39,2,FALSE)*(1+GROWTH!C108)</f>
        <v>14070.246807076148</v>
      </c>
    </row>
    <row r="109" spans="1:6" x14ac:dyDescent="0.25">
      <c r="A109" t="s">
        <v>25</v>
      </c>
      <c r="B109">
        <v>2025</v>
      </c>
      <c r="C109">
        <v>0</v>
      </c>
      <c r="D109" s="29" t="str">
        <f t="shared" si="2"/>
        <v>M</v>
      </c>
      <c r="E109" s="29" t="str">
        <f t="shared" si="3"/>
        <v>20_24</v>
      </c>
      <c r="F109" s="29">
        <f>VLOOKUP(A109,POPN!$A$1:$B$39,2,FALSE)*(1+GROWTH!C109)</f>
        <v>14008</v>
      </c>
    </row>
    <row r="110" spans="1:6" x14ac:dyDescent="0.25">
      <c r="A110" t="s">
        <v>25</v>
      </c>
      <c r="B110">
        <v>2026</v>
      </c>
      <c r="C110">
        <v>7.1328424875309604E-3</v>
      </c>
      <c r="D110" s="29" t="str">
        <f t="shared" si="2"/>
        <v>M</v>
      </c>
      <c r="E110" s="29" t="str">
        <f t="shared" si="3"/>
        <v>20_24</v>
      </c>
      <c r="F110" s="29">
        <f>VLOOKUP(A110,POPN!$A$1:$B$39,2,FALSE)*(1+GROWTH!C110)</f>
        <v>14107.916857565335</v>
      </c>
    </row>
    <row r="111" spans="1:6" x14ac:dyDescent="0.25">
      <c r="A111" t="s">
        <v>25</v>
      </c>
      <c r="B111">
        <v>2027</v>
      </c>
      <c r="C111">
        <v>1.2656773135769199E-2</v>
      </c>
      <c r="D111" s="29" t="str">
        <f t="shared" si="2"/>
        <v>M</v>
      </c>
      <c r="E111" s="29" t="str">
        <f t="shared" si="3"/>
        <v>20_24</v>
      </c>
      <c r="F111" s="29">
        <f>VLOOKUP(A111,POPN!$A$1:$B$39,2,FALSE)*(1+GROWTH!C111)</f>
        <v>14185.296078085854</v>
      </c>
    </row>
    <row r="112" spans="1:6" x14ac:dyDescent="0.25">
      <c r="A112" t="s">
        <v>25</v>
      </c>
      <c r="B112">
        <v>2028</v>
      </c>
      <c r="C112">
        <v>2.1704986860553398E-2</v>
      </c>
      <c r="D112" s="29" t="str">
        <f t="shared" si="2"/>
        <v>M</v>
      </c>
      <c r="E112" s="29" t="str">
        <f t="shared" si="3"/>
        <v>20_24</v>
      </c>
      <c r="F112" s="29">
        <f>VLOOKUP(A112,POPN!$A$1:$B$39,2,FALSE)*(1+GROWTH!C112)</f>
        <v>14312.043455942632</v>
      </c>
    </row>
    <row r="113" spans="1:6" x14ac:dyDescent="0.25">
      <c r="A113" t="s">
        <v>25</v>
      </c>
      <c r="B113">
        <v>2029</v>
      </c>
      <c r="C113">
        <v>2.84317706457866E-2</v>
      </c>
      <c r="D113" s="29" t="str">
        <f t="shared" si="2"/>
        <v>M</v>
      </c>
      <c r="E113" s="29" t="str">
        <f t="shared" si="3"/>
        <v>20_24</v>
      </c>
      <c r="F113" s="29">
        <f>VLOOKUP(A113,POPN!$A$1:$B$39,2,FALSE)*(1+GROWTH!C113)</f>
        <v>14406.272243206178</v>
      </c>
    </row>
    <row r="114" spans="1:6" x14ac:dyDescent="0.25">
      <c r="A114" t="s">
        <v>25</v>
      </c>
      <c r="B114">
        <v>2030</v>
      </c>
      <c r="C114">
        <v>3.8238471380522998E-2</v>
      </c>
      <c r="D114" s="29" t="str">
        <f t="shared" si="2"/>
        <v>M</v>
      </c>
      <c r="E114" s="29" t="str">
        <f t="shared" si="3"/>
        <v>20_24</v>
      </c>
      <c r="F114" s="29">
        <f>VLOOKUP(A114,POPN!$A$1:$B$39,2,FALSE)*(1+GROWTH!C114)</f>
        <v>14543.644507098366</v>
      </c>
    </row>
    <row r="115" spans="1:6" x14ac:dyDescent="0.25">
      <c r="A115" t="s">
        <v>25</v>
      </c>
      <c r="B115">
        <v>2031</v>
      </c>
      <c r="C115">
        <v>5.2075113198440201E-2</v>
      </c>
      <c r="D115" s="29" t="str">
        <f t="shared" si="2"/>
        <v>M</v>
      </c>
      <c r="E115" s="29" t="str">
        <f t="shared" si="3"/>
        <v>20_24</v>
      </c>
      <c r="F115" s="29">
        <f>VLOOKUP(A115,POPN!$A$1:$B$39,2,FALSE)*(1+GROWTH!C115)</f>
        <v>14737.468185683751</v>
      </c>
    </row>
    <row r="116" spans="1:6" x14ac:dyDescent="0.25">
      <c r="A116" t="s">
        <v>25</v>
      </c>
      <c r="B116">
        <v>2032</v>
      </c>
      <c r="C116">
        <v>6.0502746642354298E-2</v>
      </c>
      <c r="D116" s="29" t="str">
        <f t="shared" si="2"/>
        <v>M</v>
      </c>
      <c r="E116" s="29" t="str">
        <f t="shared" si="3"/>
        <v>20_24</v>
      </c>
      <c r="F116" s="29">
        <f>VLOOKUP(A116,POPN!$A$1:$B$39,2,FALSE)*(1+GROWTH!C116)</f>
        <v>14855.522474966097</v>
      </c>
    </row>
    <row r="117" spans="1:6" x14ac:dyDescent="0.25">
      <c r="A117" t="s">
        <v>25</v>
      </c>
      <c r="B117">
        <v>2033</v>
      </c>
      <c r="C117">
        <v>5.8127686308160301E-2</v>
      </c>
      <c r="D117" s="29" t="str">
        <f t="shared" si="2"/>
        <v>M</v>
      </c>
      <c r="E117" s="29" t="str">
        <f t="shared" si="3"/>
        <v>20_24</v>
      </c>
      <c r="F117" s="29">
        <f>VLOOKUP(A117,POPN!$A$1:$B$39,2,FALSE)*(1+GROWTH!C117)</f>
        <v>14822.252629804711</v>
      </c>
    </row>
    <row r="118" spans="1:6" x14ac:dyDescent="0.25">
      <c r="A118" t="s">
        <v>25</v>
      </c>
      <c r="B118">
        <v>2034</v>
      </c>
      <c r="C118">
        <v>5.7415168207902198E-2</v>
      </c>
      <c r="D118" s="29" t="str">
        <f t="shared" si="2"/>
        <v>M</v>
      </c>
      <c r="E118" s="29" t="str">
        <f t="shared" si="3"/>
        <v>20_24</v>
      </c>
      <c r="F118" s="29">
        <f>VLOOKUP(A118,POPN!$A$1:$B$39,2,FALSE)*(1+GROWTH!C118)</f>
        <v>14812.271676256294</v>
      </c>
    </row>
    <row r="119" spans="1:6" x14ac:dyDescent="0.25">
      <c r="A119" t="s">
        <v>25</v>
      </c>
      <c r="B119">
        <v>2035</v>
      </c>
      <c r="C119">
        <v>5.3699348007631001E-2</v>
      </c>
      <c r="D119" s="29" t="str">
        <f t="shared" si="2"/>
        <v>M</v>
      </c>
      <c r="E119" s="29" t="str">
        <f t="shared" si="3"/>
        <v>20_24</v>
      </c>
      <c r="F119" s="29">
        <f>VLOOKUP(A119,POPN!$A$1:$B$39,2,FALSE)*(1+GROWTH!C119)</f>
        <v>14760.220466890896</v>
      </c>
    </row>
    <row r="120" spans="1:6" x14ac:dyDescent="0.25">
      <c r="A120" t="s">
        <v>25</v>
      </c>
      <c r="B120">
        <v>2036</v>
      </c>
      <c r="C120">
        <v>4.8420584877760998E-2</v>
      </c>
      <c r="D120" s="29" t="str">
        <f t="shared" si="2"/>
        <v>M</v>
      </c>
      <c r="E120" s="29" t="str">
        <f t="shared" si="3"/>
        <v>20_24</v>
      </c>
      <c r="F120" s="29">
        <f>VLOOKUP(A120,POPN!$A$1:$B$39,2,FALSE)*(1+GROWTH!C120)</f>
        <v>14686.275552967676</v>
      </c>
    </row>
    <row r="121" spans="1:6" x14ac:dyDescent="0.25">
      <c r="A121" t="s">
        <v>25</v>
      </c>
      <c r="B121">
        <v>2037</v>
      </c>
      <c r="C121">
        <v>3.4423051875914698E-2</v>
      </c>
      <c r="D121" s="29" t="str">
        <f t="shared" si="2"/>
        <v>M</v>
      </c>
      <c r="E121" s="29" t="str">
        <f t="shared" si="3"/>
        <v>20_24</v>
      </c>
      <c r="F121" s="29">
        <f>VLOOKUP(A121,POPN!$A$1:$B$39,2,FALSE)*(1+GROWTH!C121)</f>
        <v>14490.198110677815</v>
      </c>
    </row>
    <row r="122" spans="1:6" x14ac:dyDescent="0.25">
      <c r="A122" t="s">
        <v>25</v>
      </c>
      <c r="B122">
        <v>2038</v>
      </c>
      <c r="C122">
        <v>2.36050351279085E-2</v>
      </c>
      <c r="D122" s="29" t="str">
        <f t="shared" si="2"/>
        <v>M</v>
      </c>
      <c r="E122" s="29" t="str">
        <f t="shared" si="3"/>
        <v>20_24</v>
      </c>
      <c r="F122" s="29">
        <f>VLOOKUP(A122,POPN!$A$1:$B$39,2,FALSE)*(1+GROWTH!C122)</f>
        <v>14338.659332071742</v>
      </c>
    </row>
    <row r="123" spans="1:6" x14ac:dyDescent="0.25">
      <c r="A123" t="s">
        <v>25</v>
      </c>
      <c r="B123">
        <v>2039</v>
      </c>
      <c r="C123">
        <v>1.5506845536802099E-2</v>
      </c>
      <c r="D123" s="29" t="str">
        <f t="shared" si="2"/>
        <v>M</v>
      </c>
      <c r="E123" s="29" t="str">
        <f t="shared" si="3"/>
        <v>20_24</v>
      </c>
      <c r="F123" s="29">
        <f>VLOOKUP(A123,POPN!$A$1:$B$39,2,FALSE)*(1+GROWTH!C123)</f>
        <v>14225.219892279525</v>
      </c>
    </row>
    <row r="124" spans="1:6" x14ac:dyDescent="0.25">
      <c r="A124" t="s">
        <v>25</v>
      </c>
      <c r="B124">
        <v>2040</v>
      </c>
      <c r="C124">
        <v>7.9296369222282698E-3</v>
      </c>
      <c r="D124" s="29" t="str">
        <f t="shared" si="2"/>
        <v>M</v>
      </c>
      <c r="E124" s="29" t="str">
        <f t="shared" si="3"/>
        <v>20_24</v>
      </c>
      <c r="F124" s="29">
        <f>VLOOKUP(A124,POPN!$A$1:$B$39,2,FALSE)*(1+GROWTH!C124)</f>
        <v>14119.078354006575</v>
      </c>
    </row>
    <row r="125" spans="1:6" x14ac:dyDescent="0.25">
      <c r="A125" t="s">
        <v>25</v>
      </c>
      <c r="B125">
        <v>2041</v>
      </c>
      <c r="C125">
        <v>-6.2134642936492804E-3</v>
      </c>
      <c r="D125" s="29" t="str">
        <f t="shared" si="2"/>
        <v>M</v>
      </c>
      <c r="E125" s="29" t="str">
        <f t="shared" si="3"/>
        <v>20_24</v>
      </c>
      <c r="F125" s="29">
        <f>VLOOKUP(A125,POPN!$A$1:$B$39,2,FALSE)*(1+GROWTH!C125)</f>
        <v>13920.961792174559</v>
      </c>
    </row>
    <row r="126" spans="1:6" x14ac:dyDescent="0.25">
      <c r="A126" t="s">
        <v>25</v>
      </c>
      <c r="B126">
        <v>2042</v>
      </c>
      <c r="C126">
        <v>-1.7376247864361E-2</v>
      </c>
      <c r="D126" s="29" t="str">
        <f t="shared" si="2"/>
        <v>M</v>
      </c>
      <c r="E126" s="29" t="str">
        <f t="shared" si="3"/>
        <v>20_24</v>
      </c>
      <c r="F126" s="29">
        <f>VLOOKUP(A126,POPN!$A$1:$B$39,2,FALSE)*(1+GROWTH!C126)</f>
        <v>13764.593519916032</v>
      </c>
    </row>
    <row r="127" spans="1:6" x14ac:dyDescent="0.25">
      <c r="A127" t="s">
        <v>25</v>
      </c>
      <c r="B127">
        <v>2043</v>
      </c>
      <c r="C127">
        <v>-3.3450043287389902E-2</v>
      </c>
      <c r="D127" s="29" t="str">
        <f t="shared" si="2"/>
        <v>M</v>
      </c>
      <c r="E127" s="29" t="str">
        <f t="shared" si="3"/>
        <v>20_24</v>
      </c>
      <c r="F127" s="29">
        <f>VLOOKUP(A127,POPN!$A$1:$B$39,2,FALSE)*(1+GROWTH!C127)</f>
        <v>13539.431793630243</v>
      </c>
    </row>
    <row r="128" spans="1:6" x14ac:dyDescent="0.25">
      <c r="A128" t="s">
        <v>25</v>
      </c>
      <c r="B128">
        <v>2044</v>
      </c>
      <c r="C128">
        <v>-4.8313324088474698E-2</v>
      </c>
      <c r="D128" s="29" t="str">
        <f t="shared" si="2"/>
        <v>M</v>
      </c>
      <c r="E128" s="29" t="str">
        <f t="shared" si="3"/>
        <v>20_24</v>
      </c>
      <c r="F128" s="29">
        <f>VLOOKUP(A128,POPN!$A$1:$B$39,2,FALSE)*(1+GROWTH!C128)</f>
        <v>13331.226956168646</v>
      </c>
    </row>
    <row r="129" spans="1:6" x14ac:dyDescent="0.25">
      <c r="A129" t="s">
        <v>25</v>
      </c>
      <c r="B129">
        <v>2045</v>
      </c>
      <c r="C129">
        <v>-6.1583016020164999E-2</v>
      </c>
      <c r="D129" s="29" t="str">
        <f t="shared" si="2"/>
        <v>M</v>
      </c>
      <c r="E129" s="29" t="str">
        <f t="shared" si="3"/>
        <v>20_24</v>
      </c>
      <c r="F129" s="29">
        <f>VLOOKUP(A129,POPN!$A$1:$B$39,2,FALSE)*(1+GROWTH!C129)</f>
        <v>13145.345111589528</v>
      </c>
    </row>
    <row r="130" spans="1:6" x14ac:dyDescent="0.25">
      <c r="A130" t="s">
        <v>25</v>
      </c>
      <c r="B130">
        <v>2046</v>
      </c>
      <c r="C130">
        <v>-7.1213502601074105E-2</v>
      </c>
      <c r="D130" s="29" t="str">
        <f t="shared" si="2"/>
        <v>M</v>
      </c>
      <c r="E130" s="29" t="str">
        <f t="shared" si="3"/>
        <v>20_24</v>
      </c>
      <c r="F130" s="29">
        <f>VLOOKUP(A130,POPN!$A$1:$B$39,2,FALSE)*(1+GROWTH!C130)</f>
        <v>13010.441255564154</v>
      </c>
    </row>
    <row r="131" spans="1:6" x14ac:dyDescent="0.25">
      <c r="A131" t="s">
        <v>25</v>
      </c>
      <c r="B131">
        <v>2047</v>
      </c>
      <c r="C131">
        <v>-7.9564521195498103E-2</v>
      </c>
      <c r="D131" s="29" t="str">
        <f t="shared" ref="D131:D194" si="4">LEFT(A131,1)</f>
        <v>M</v>
      </c>
      <c r="E131" s="29" t="str">
        <f t="shared" ref="E131:E194" si="5">MID(A131,3,LEN(A131)-2)</f>
        <v>20_24</v>
      </c>
      <c r="F131" s="29">
        <f>VLOOKUP(A131,POPN!$A$1:$B$39,2,FALSE)*(1+GROWTH!C131)</f>
        <v>12893.460187093464</v>
      </c>
    </row>
    <row r="132" spans="1:6" x14ac:dyDescent="0.25">
      <c r="A132" t="s">
        <v>26</v>
      </c>
      <c r="B132">
        <v>2022</v>
      </c>
      <c r="C132">
        <v>-1.2923028283121101E-2</v>
      </c>
      <c r="D132" s="29" t="str">
        <f t="shared" si="4"/>
        <v>M</v>
      </c>
      <c r="E132" s="29" t="str">
        <f t="shared" si="5"/>
        <v>25_29</v>
      </c>
      <c r="F132" s="29">
        <f>VLOOKUP(A132,POPN!$A$1:$B$39,2,FALSE)*(1+GROWTH!C132)</f>
        <v>15333.253678649997</v>
      </c>
    </row>
    <row r="133" spans="1:6" x14ac:dyDescent="0.25">
      <c r="A133" t="s">
        <v>26</v>
      </c>
      <c r="B133">
        <v>2023</v>
      </c>
      <c r="C133">
        <v>-2.5819709923463499E-3</v>
      </c>
      <c r="D133" s="29" t="str">
        <f t="shared" si="4"/>
        <v>M</v>
      </c>
      <c r="E133" s="29" t="str">
        <f t="shared" si="5"/>
        <v>25_29</v>
      </c>
      <c r="F133" s="29">
        <f>VLOOKUP(A133,POPN!$A$1:$B$39,2,FALSE)*(1+GROWTH!C133)</f>
        <v>15493.891662604892</v>
      </c>
    </row>
    <row r="134" spans="1:6" x14ac:dyDescent="0.25">
      <c r="A134" t="s">
        <v>26</v>
      </c>
      <c r="B134">
        <v>2024</v>
      </c>
      <c r="C134">
        <v>-4.9136488782917098E-3</v>
      </c>
      <c r="D134" s="29" t="str">
        <f t="shared" si="4"/>
        <v>M</v>
      </c>
      <c r="E134" s="29" t="str">
        <f t="shared" si="5"/>
        <v>25_29</v>
      </c>
      <c r="F134" s="29">
        <f>VLOOKUP(A134,POPN!$A$1:$B$39,2,FALSE)*(1+GROWTH!C134)</f>
        <v>15457.671378324616</v>
      </c>
    </row>
    <row r="135" spans="1:6" x14ac:dyDescent="0.25">
      <c r="A135" t="s">
        <v>26</v>
      </c>
      <c r="B135">
        <v>2025</v>
      </c>
      <c r="C135">
        <v>0</v>
      </c>
      <c r="D135" s="29" t="str">
        <f t="shared" si="4"/>
        <v>M</v>
      </c>
      <c r="E135" s="29" t="str">
        <f t="shared" si="5"/>
        <v>25_29</v>
      </c>
      <c r="F135" s="29">
        <f>VLOOKUP(A135,POPN!$A$1:$B$39,2,FALSE)*(1+GROWTH!C135)</f>
        <v>15534</v>
      </c>
    </row>
    <row r="136" spans="1:6" x14ac:dyDescent="0.25">
      <c r="A136" t="s">
        <v>26</v>
      </c>
      <c r="B136">
        <v>2026</v>
      </c>
      <c r="C136">
        <v>-4.0178630238041904E-3</v>
      </c>
      <c r="D136" s="29" t="str">
        <f t="shared" si="4"/>
        <v>M</v>
      </c>
      <c r="E136" s="29" t="str">
        <f t="shared" si="5"/>
        <v>25_29</v>
      </c>
      <c r="F136" s="29">
        <f>VLOOKUP(A136,POPN!$A$1:$B$39,2,FALSE)*(1+GROWTH!C136)</f>
        <v>15471.586515788227</v>
      </c>
    </row>
    <row r="137" spans="1:6" x14ac:dyDescent="0.25">
      <c r="A137" t="s">
        <v>26</v>
      </c>
      <c r="B137">
        <v>2027</v>
      </c>
      <c r="C137">
        <v>-1.21589756425288E-2</v>
      </c>
      <c r="D137" s="29" t="str">
        <f t="shared" si="4"/>
        <v>M</v>
      </c>
      <c r="E137" s="29" t="str">
        <f t="shared" si="5"/>
        <v>25_29</v>
      </c>
      <c r="F137" s="29">
        <f>VLOOKUP(A137,POPN!$A$1:$B$39,2,FALSE)*(1+GROWTH!C137)</f>
        <v>15345.122472368957</v>
      </c>
    </row>
    <row r="138" spans="1:6" x14ac:dyDescent="0.25">
      <c r="A138" t="s">
        <v>26</v>
      </c>
      <c r="B138">
        <v>2028</v>
      </c>
      <c r="C138">
        <v>-1.3054761497016299E-2</v>
      </c>
      <c r="D138" s="29" t="str">
        <f t="shared" si="4"/>
        <v>M</v>
      </c>
      <c r="E138" s="29" t="str">
        <f t="shared" si="5"/>
        <v>25_29</v>
      </c>
      <c r="F138" s="29">
        <f>VLOOKUP(A138,POPN!$A$1:$B$39,2,FALSE)*(1+GROWTH!C138)</f>
        <v>15331.207334905348</v>
      </c>
    </row>
    <row r="139" spans="1:6" x14ac:dyDescent="0.25">
      <c r="A139" t="s">
        <v>26</v>
      </c>
      <c r="B139">
        <v>2029</v>
      </c>
      <c r="C139">
        <v>-1.18625759112645E-2</v>
      </c>
      <c r="D139" s="29" t="str">
        <f t="shared" si="4"/>
        <v>M</v>
      </c>
      <c r="E139" s="29" t="str">
        <f t="shared" si="5"/>
        <v>25_29</v>
      </c>
      <c r="F139" s="29">
        <f>VLOOKUP(A139,POPN!$A$1:$B$39,2,FALSE)*(1+GROWTH!C139)</f>
        <v>15349.726745794418</v>
      </c>
    </row>
    <row r="140" spans="1:6" x14ac:dyDescent="0.25">
      <c r="A140" t="s">
        <v>26</v>
      </c>
      <c r="B140">
        <v>2030</v>
      </c>
      <c r="C140">
        <v>-7.6405264059227302E-3</v>
      </c>
      <c r="D140" s="29" t="str">
        <f t="shared" si="4"/>
        <v>M</v>
      </c>
      <c r="E140" s="29" t="str">
        <f t="shared" si="5"/>
        <v>25_29</v>
      </c>
      <c r="F140" s="29">
        <f>VLOOKUP(A140,POPN!$A$1:$B$39,2,FALSE)*(1+GROWTH!C140)</f>
        <v>15415.312062810397</v>
      </c>
    </row>
    <row r="141" spans="1:6" x14ac:dyDescent="0.25">
      <c r="A141" t="s">
        <v>26</v>
      </c>
      <c r="B141">
        <v>2031</v>
      </c>
      <c r="C141">
        <v>3.5699700965603699E-3</v>
      </c>
      <c r="D141" s="29" t="str">
        <f t="shared" si="4"/>
        <v>M</v>
      </c>
      <c r="E141" s="29" t="str">
        <f t="shared" si="5"/>
        <v>25_29</v>
      </c>
      <c r="F141" s="29">
        <f>VLOOKUP(A141,POPN!$A$1:$B$39,2,FALSE)*(1+GROWTH!C141)</f>
        <v>15589.455915479968</v>
      </c>
    </row>
    <row r="142" spans="1:6" x14ac:dyDescent="0.25">
      <c r="A142" t="s">
        <v>26</v>
      </c>
      <c r="B142">
        <v>2032</v>
      </c>
      <c r="C142">
        <v>1.4312813689715501E-2</v>
      </c>
      <c r="D142" s="29" t="str">
        <f t="shared" si="4"/>
        <v>M</v>
      </c>
      <c r="E142" s="29" t="str">
        <f t="shared" si="5"/>
        <v>25_29</v>
      </c>
      <c r="F142" s="29">
        <f>VLOOKUP(A142,POPN!$A$1:$B$39,2,FALSE)*(1+GROWTH!C142)</f>
        <v>15756.335247856041</v>
      </c>
    </row>
    <row r="143" spans="1:6" x14ac:dyDescent="0.25">
      <c r="A143" t="s">
        <v>26</v>
      </c>
      <c r="B143">
        <v>2033</v>
      </c>
      <c r="C143">
        <v>2.6959202223656598E-2</v>
      </c>
      <c r="D143" s="29" t="str">
        <f t="shared" si="4"/>
        <v>M</v>
      </c>
      <c r="E143" s="29" t="str">
        <f t="shared" si="5"/>
        <v>25_29</v>
      </c>
      <c r="F143" s="29">
        <f>VLOOKUP(A143,POPN!$A$1:$B$39,2,FALSE)*(1+GROWTH!C143)</f>
        <v>15952.784247342282</v>
      </c>
    </row>
    <row r="144" spans="1:6" x14ac:dyDescent="0.25">
      <c r="A144" t="s">
        <v>26</v>
      </c>
      <c r="B144">
        <v>2034</v>
      </c>
      <c r="C144">
        <v>3.5541621108930103E-2</v>
      </c>
      <c r="D144" s="29" t="str">
        <f t="shared" si="4"/>
        <v>M</v>
      </c>
      <c r="E144" s="29" t="str">
        <f t="shared" si="5"/>
        <v>25_29</v>
      </c>
      <c r="F144" s="29">
        <f>VLOOKUP(A144,POPN!$A$1:$B$39,2,FALSE)*(1+GROWTH!C144)</f>
        <v>16086.10354230612</v>
      </c>
    </row>
    <row r="145" spans="1:6" x14ac:dyDescent="0.25">
      <c r="A145" t="s">
        <v>26</v>
      </c>
      <c r="B145">
        <v>2035</v>
      </c>
      <c r="C145">
        <v>4.62317714165272E-2</v>
      </c>
      <c r="D145" s="29" t="str">
        <f t="shared" si="4"/>
        <v>M</v>
      </c>
      <c r="E145" s="29" t="str">
        <f t="shared" si="5"/>
        <v>25_29</v>
      </c>
      <c r="F145" s="29">
        <f>VLOOKUP(A145,POPN!$A$1:$B$39,2,FALSE)*(1+GROWTH!C145)</f>
        <v>16252.164337184335</v>
      </c>
    </row>
    <row r="146" spans="1:6" x14ac:dyDescent="0.25">
      <c r="A146" t="s">
        <v>26</v>
      </c>
      <c r="B146">
        <v>2036</v>
      </c>
      <c r="C146">
        <v>6.0788291551949002E-2</v>
      </c>
      <c r="D146" s="29" t="str">
        <f t="shared" si="4"/>
        <v>M</v>
      </c>
      <c r="E146" s="29" t="str">
        <f t="shared" si="5"/>
        <v>25_29</v>
      </c>
      <c r="F146" s="29">
        <f>VLOOKUP(A146,POPN!$A$1:$B$39,2,FALSE)*(1+GROWTH!C146)</f>
        <v>16478.285320967978</v>
      </c>
    </row>
    <row r="147" spans="1:6" x14ac:dyDescent="0.25">
      <c r="A147" t="s">
        <v>26</v>
      </c>
      <c r="B147">
        <v>2037</v>
      </c>
      <c r="C147">
        <v>7.0951509003965102E-2</v>
      </c>
      <c r="D147" s="29" t="str">
        <f t="shared" si="4"/>
        <v>M</v>
      </c>
      <c r="E147" s="29" t="str">
        <f t="shared" si="5"/>
        <v>25_29</v>
      </c>
      <c r="F147" s="29">
        <f>VLOOKUP(A147,POPN!$A$1:$B$39,2,FALSE)*(1+GROWTH!C147)</f>
        <v>16636.160740867595</v>
      </c>
    </row>
    <row r="148" spans="1:6" x14ac:dyDescent="0.25">
      <c r="A148" t="s">
        <v>26</v>
      </c>
      <c r="B148">
        <v>2038</v>
      </c>
      <c r="C148">
        <v>6.9588070240149694E-2</v>
      </c>
      <c r="D148" s="29" t="str">
        <f t="shared" si="4"/>
        <v>M</v>
      </c>
      <c r="E148" s="29" t="str">
        <f t="shared" si="5"/>
        <v>25_29</v>
      </c>
      <c r="F148" s="29">
        <f>VLOOKUP(A148,POPN!$A$1:$B$39,2,FALSE)*(1+GROWTH!C148)</f>
        <v>16614.981083110484</v>
      </c>
    </row>
    <row r="149" spans="1:6" x14ac:dyDescent="0.25">
      <c r="A149" t="s">
        <v>26</v>
      </c>
      <c r="B149">
        <v>2039</v>
      </c>
      <c r="C149">
        <v>6.7032445890582298E-2</v>
      </c>
      <c r="D149" s="29" t="str">
        <f t="shared" si="4"/>
        <v>M</v>
      </c>
      <c r="E149" s="29" t="str">
        <f t="shared" si="5"/>
        <v>25_29</v>
      </c>
      <c r="F149" s="29">
        <f>VLOOKUP(A149,POPN!$A$1:$B$39,2,FALSE)*(1+GROWTH!C149)</f>
        <v>16575.282014464305</v>
      </c>
    </row>
    <row r="150" spans="1:6" x14ac:dyDescent="0.25">
      <c r="A150" t="s">
        <v>26</v>
      </c>
      <c r="B150">
        <v>2040</v>
      </c>
      <c r="C150">
        <v>6.1861917245194999E-2</v>
      </c>
      <c r="D150" s="29" t="str">
        <f t="shared" si="4"/>
        <v>M</v>
      </c>
      <c r="E150" s="29" t="str">
        <f t="shared" si="5"/>
        <v>25_29</v>
      </c>
      <c r="F150" s="29">
        <f>VLOOKUP(A150,POPN!$A$1:$B$39,2,FALSE)*(1+GROWTH!C150)</f>
        <v>16494.96302248686</v>
      </c>
    </row>
    <row r="151" spans="1:6" x14ac:dyDescent="0.25">
      <c r="A151" t="s">
        <v>26</v>
      </c>
      <c r="B151">
        <v>2041</v>
      </c>
      <c r="C151">
        <v>5.6184215726311097E-2</v>
      </c>
      <c r="D151" s="29" t="str">
        <f t="shared" si="4"/>
        <v>M</v>
      </c>
      <c r="E151" s="29" t="str">
        <f t="shared" si="5"/>
        <v>25_29</v>
      </c>
      <c r="F151" s="29">
        <f>VLOOKUP(A151,POPN!$A$1:$B$39,2,FALSE)*(1+GROWTH!C151)</f>
        <v>16406.765607092515</v>
      </c>
    </row>
    <row r="152" spans="1:6" x14ac:dyDescent="0.25">
      <c r="A152" t="s">
        <v>26</v>
      </c>
      <c r="B152">
        <v>2042</v>
      </c>
      <c r="C152">
        <v>4.3234840800410998E-2</v>
      </c>
      <c r="D152" s="29" t="str">
        <f t="shared" si="4"/>
        <v>M</v>
      </c>
      <c r="E152" s="29" t="str">
        <f t="shared" si="5"/>
        <v>25_29</v>
      </c>
      <c r="F152" s="29">
        <f>VLOOKUP(A152,POPN!$A$1:$B$39,2,FALSE)*(1+GROWTH!C152)</f>
        <v>16205.610016993585</v>
      </c>
    </row>
    <row r="153" spans="1:6" x14ac:dyDescent="0.25">
      <c r="A153" t="s">
        <v>26</v>
      </c>
      <c r="B153">
        <v>2043</v>
      </c>
      <c r="C153">
        <v>3.2505170528645398E-2</v>
      </c>
      <c r="D153" s="29" t="str">
        <f t="shared" si="4"/>
        <v>M</v>
      </c>
      <c r="E153" s="29" t="str">
        <f t="shared" si="5"/>
        <v>25_29</v>
      </c>
      <c r="F153" s="29">
        <f>VLOOKUP(A153,POPN!$A$1:$B$39,2,FALSE)*(1+GROWTH!C153)</f>
        <v>16038.935318991978</v>
      </c>
    </row>
    <row r="154" spans="1:6" x14ac:dyDescent="0.25">
      <c r="A154" t="s">
        <v>26</v>
      </c>
      <c r="B154">
        <v>2044</v>
      </c>
      <c r="C154">
        <v>2.4423337856173601E-2</v>
      </c>
      <c r="D154" s="29" t="str">
        <f t="shared" si="4"/>
        <v>M</v>
      </c>
      <c r="E154" s="29" t="str">
        <f t="shared" si="5"/>
        <v>25_29</v>
      </c>
      <c r="F154" s="29">
        <f>VLOOKUP(A154,POPN!$A$1:$B$39,2,FALSE)*(1+GROWTH!C154)</f>
        <v>15913.3921302578</v>
      </c>
    </row>
    <row r="155" spans="1:6" x14ac:dyDescent="0.25">
      <c r="A155" t="s">
        <v>26</v>
      </c>
      <c r="B155">
        <v>2045</v>
      </c>
      <c r="C155">
        <v>1.54193726864353E-2</v>
      </c>
      <c r="D155" s="29" t="str">
        <f t="shared" si="4"/>
        <v>M</v>
      </c>
      <c r="E155" s="29" t="str">
        <f t="shared" si="5"/>
        <v>25_29</v>
      </c>
      <c r="F155" s="29">
        <f>VLOOKUP(A155,POPN!$A$1:$B$39,2,FALSE)*(1+GROWTH!C155)</f>
        <v>15773.524535311086</v>
      </c>
    </row>
    <row r="156" spans="1:6" x14ac:dyDescent="0.25">
      <c r="A156" t="s">
        <v>26</v>
      </c>
      <c r="B156">
        <v>2046</v>
      </c>
      <c r="C156">
        <v>1.5149319597945399E-4</v>
      </c>
      <c r="D156" s="29" t="str">
        <f t="shared" si="4"/>
        <v>M</v>
      </c>
      <c r="E156" s="29" t="str">
        <f t="shared" si="5"/>
        <v>25_29</v>
      </c>
      <c r="F156" s="29">
        <f>VLOOKUP(A156,POPN!$A$1:$B$39,2,FALSE)*(1+GROWTH!C156)</f>
        <v>15536.353295306344</v>
      </c>
    </row>
    <row r="157" spans="1:6" x14ac:dyDescent="0.25">
      <c r="A157" t="s">
        <v>26</v>
      </c>
      <c r="B157">
        <v>2047</v>
      </c>
      <c r="C157">
        <v>-1.0301537326606301E-2</v>
      </c>
      <c r="D157" s="29" t="str">
        <f t="shared" si="4"/>
        <v>M</v>
      </c>
      <c r="E157" s="29" t="str">
        <f t="shared" si="5"/>
        <v>25_29</v>
      </c>
      <c r="F157" s="29">
        <f>VLOOKUP(A157,POPN!$A$1:$B$39,2,FALSE)*(1+GROWTH!C157)</f>
        <v>15373.975919168497</v>
      </c>
    </row>
    <row r="158" spans="1:6" x14ac:dyDescent="0.25">
      <c r="A158" t="s">
        <v>27</v>
      </c>
      <c r="B158">
        <v>2022</v>
      </c>
      <c r="C158">
        <v>-3.32813185741445E-3</v>
      </c>
      <c r="D158" s="29" t="str">
        <f t="shared" si="4"/>
        <v>M</v>
      </c>
      <c r="E158" s="29" t="str">
        <f t="shared" si="5"/>
        <v>30_34</v>
      </c>
      <c r="F158" s="29">
        <f>VLOOKUP(A158,POPN!$A$1:$B$39,2,FALSE)*(1+GROWTH!C158)</f>
        <v>17924.146876676259</v>
      </c>
    </row>
    <row r="159" spans="1:6" x14ac:dyDescent="0.25">
      <c r="A159" t="s">
        <v>27</v>
      </c>
      <c r="B159">
        <v>2023</v>
      </c>
      <c r="C159">
        <v>1.70673428585361E-3</v>
      </c>
      <c r="D159" s="29" t="str">
        <f t="shared" si="4"/>
        <v>M</v>
      </c>
      <c r="E159" s="29" t="str">
        <f t="shared" si="5"/>
        <v>30_34</v>
      </c>
      <c r="F159" s="29">
        <f>VLOOKUP(A159,POPN!$A$1:$B$39,2,FALSE)*(1+GROWTH!C159)</f>
        <v>18014.693909396792</v>
      </c>
    </row>
    <row r="160" spans="1:6" x14ac:dyDescent="0.25">
      <c r="A160" t="s">
        <v>27</v>
      </c>
      <c r="B160">
        <v>2024</v>
      </c>
      <c r="C160">
        <v>1.07646169600626E-2</v>
      </c>
      <c r="D160" s="29" t="str">
        <f t="shared" si="4"/>
        <v>M</v>
      </c>
      <c r="E160" s="29" t="str">
        <f t="shared" si="5"/>
        <v>30_34</v>
      </c>
      <c r="F160" s="29">
        <f>VLOOKUP(A160,POPN!$A$1:$B$39,2,FALSE)*(1+GROWTH!C160)</f>
        <v>18177.590871409764</v>
      </c>
    </row>
    <row r="161" spans="1:6" x14ac:dyDescent="0.25">
      <c r="A161" t="s">
        <v>27</v>
      </c>
      <c r="B161">
        <v>2025</v>
      </c>
      <c r="C161">
        <v>0</v>
      </c>
      <c r="D161" s="29" t="str">
        <f t="shared" si="4"/>
        <v>M</v>
      </c>
      <c r="E161" s="29" t="str">
        <f t="shared" si="5"/>
        <v>30_34</v>
      </c>
      <c r="F161" s="29">
        <f>VLOOKUP(A161,POPN!$A$1:$B$39,2,FALSE)*(1+GROWTH!C161)</f>
        <v>17984</v>
      </c>
    </row>
    <row r="162" spans="1:6" x14ac:dyDescent="0.25">
      <c r="A162" t="s">
        <v>27</v>
      </c>
      <c r="B162">
        <v>2026</v>
      </c>
      <c r="C162">
        <v>-6.27224850051189E-3</v>
      </c>
      <c r="D162" s="29" t="str">
        <f t="shared" si="4"/>
        <v>M</v>
      </c>
      <c r="E162" s="29" t="str">
        <f t="shared" si="5"/>
        <v>30_34</v>
      </c>
      <c r="F162" s="29">
        <f>VLOOKUP(A162,POPN!$A$1:$B$39,2,FALSE)*(1+GROWTH!C162)</f>
        <v>17871.199882966794</v>
      </c>
    </row>
    <row r="163" spans="1:6" x14ac:dyDescent="0.25">
      <c r="A163" t="s">
        <v>27</v>
      </c>
      <c r="B163">
        <v>2027</v>
      </c>
      <c r="C163">
        <v>-7.1499975618081199E-3</v>
      </c>
      <c r="D163" s="29" t="str">
        <f t="shared" si="4"/>
        <v>M</v>
      </c>
      <c r="E163" s="29" t="str">
        <f t="shared" si="5"/>
        <v>30_34</v>
      </c>
      <c r="F163" s="29">
        <f>VLOOKUP(A163,POPN!$A$1:$B$39,2,FALSE)*(1+GROWTH!C163)</f>
        <v>17855.414443848444</v>
      </c>
    </row>
    <row r="164" spans="1:6" x14ac:dyDescent="0.25">
      <c r="A164" t="s">
        <v>27</v>
      </c>
      <c r="B164">
        <v>2028</v>
      </c>
      <c r="C164">
        <v>-5.2786853269614397E-3</v>
      </c>
      <c r="D164" s="29" t="str">
        <f t="shared" si="4"/>
        <v>M</v>
      </c>
      <c r="E164" s="29" t="str">
        <f t="shared" si="5"/>
        <v>30_34</v>
      </c>
      <c r="F164" s="29">
        <f>VLOOKUP(A164,POPN!$A$1:$B$39,2,FALSE)*(1+GROWTH!C164)</f>
        <v>17889.068123079927</v>
      </c>
    </row>
    <row r="165" spans="1:6" x14ac:dyDescent="0.25">
      <c r="A165" t="s">
        <v>27</v>
      </c>
      <c r="B165">
        <v>2029</v>
      </c>
      <c r="C165">
        <v>-9.4601843273028098E-3</v>
      </c>
      <c r="D165" s="29" t="str">
        <f t="shared" si="4"/>
        <v>M</v>
      </c>
      <c r="E165" s="29" t="str">
        <f t="shared" si="5"/>
        <v>30_34</v>
      </c>
      <c r="F165" s="29">
        <f>VLOOKUP(A165,POPN!$A$1:$B$39,2,FALSE)*(1+GROWTH!C165)</f>
        <v>17813.868045057789</v>
      </c>
    </row>
    <row r="166" spans="1:6" x14ac:dyDescent="0.25">
      <c r="A166" t="s">
        <v>27</v>
      </c>
      <c r="B166">
        <v>2030</v>
      </c>
      <c r="C166">
        <v>-4.4070317452576703E-3</v>
      </c>
      <c r="D166" s="29" t="str">
        <f t="shared" si="4"/>
        <v>M</v>
      </c>
      <c r="E166" s="29" t="str">
        <f t="shared" si="5"/>
        <v>30_34</v>
      </c>
      <c r="F166" s="29">
        <f>VLOOKUP(A166,POPN!$A$1:$B$39,2,FALSE)*(1+GROWTH!C166)</f>
        <v>17904.743941093286</v>
      </c>
    </row>
    <row r="167" spans="1:6" x14ac:dyDescent="0.25">
      <c r="A167" t="s">
        <v>27</v>
      </c>
      <c r="B167">
        <v>2031</v>
      </c>
      <c r="C167">
        <v>-4.6691373677280002E-3</v>
      </c>
      <c r="D167" s="29" t="str">
        <f t="shared" si="4"/>
        <v>M</v>
      </c>
      <c r="E167" s="29" t="str">
        <f t="shared" si="5"/>
        <v>30_34</v>
      </c>
      <c r="F167" s="29">
        <f>VLOOKUP(A167,POPN!$A$1:$B$39,2,FALSE)*(1+GROWTH!C167)</f>
        <v>17900.030233578778</v>
      </c>
    </row>
    <row r="168" spans="1:6" x14ac:dyDescent="0.25">
      <c r="A168" t="s">
        <v>27</v>
      </c>
      <c r="B168">
        <v>2032</v>
      </c>
      <c r="C168">
        <v>-9.1736967864630495E-3</v>
      </c>
      <c r="D168" s="29" t="str">
        <f t="shared" si="4"/>
        <v>M</v>
      </c>
      <c r="E168" s="29" t="str">
        <f t="shared" si="5"/>
        <v>30_34</v>
      </c>
      <c r="F168" s="29">
        <f>VLOOKUP(A168,POPN!$A$1:$B$39,2,FALSE)*(1+GROWTH!C168)</f>
        <v>17819.020236992248</v>
      </c>
    </row>
    <row r="169" spans="1:6" x14ac:dyDescent="0.25">
      <c r="A169" t="s">
        <v>27</v>
      </c>
      <c r="B169">
        <v>2033</v>
      </c>
      <c r="C169">
        <v>-6.9061783781147502E-3</v>
      </c>
      <c r="D169" s="29" t="str">
        <f t="shared" si="4"/>
        <v>M</v>
      </c>
      <c r="E169" s="29" t="str">
        <f t="shared" si="5"/>
        <v>30_34</v>
      </c>
      <c r="F169" s="29">
        <f>VLOOKUP(A169,POPN!$A$1:$B$39,2,FALSE)*(1+GROWTH!C169)</f>
        <v>17859.799288047983</v>
      </c>
    </row>
    <row r="170" spans="1:6" x14ac:dyDescent="0.25">
      <c r="A170" t="s">
        <v>27</v>
      </c>
      <c r="B170">
        <v>2034</v>
      </c>
      <c r="C170">
        <v>-3.4988052859997701E-3</v>
      </c>
      <c r="D170" s="29" t="str">
        <f t="shared" si="4"/>
        <v>M</v>
      </c>
      <c r="E170" s="29" t="str">
        <f t="shared" si="5"/>
        <v>30_34</v>
      </c>
      <c r="F170" s="29">
        <f>VLOOKUP(A170,POPN!$A$1:$B$39,2,FALSE)*(1+GROWTH!C170)</f>
        <v>17921.07748573658</v>
      </c>
    </row>
    <row r="171" spans="1:6" x14ac:dyDescent="0.25">
      <c r="A171" t="s">
        <v>27</v>
      </c>
      <c r="B171">
        <v>2035</v>
      </c>
      <c r="C171">
        <v>2.9441166430976599E-3</v>
      </c>
      <c r="D171" s="29" t="str">
        <f t="shared" si="4"/>
        <v>M</v>
      </c>
      <c r="E171" s="29" t="str">
        <f t="shared" si="5"/>
        <v>30_34</v>
      </c>
      <c r="F171" s="29">
        <f>VLOOKUP(A171,POPN!$A$1:$B$39,2,FALSE)*(1+GROWTH!C171)</f>
        <v>18036.946993709469</v>
      </c>
    </row>
    <row r="172" spans="1:6" x14ac:dyDescent="0.25">
      <c r="A172" t="s">
        <v>27</v>
      </c>
      <c r="B172">
        <v>2036</v>
      </c>
      <c r="C172">
        <v>1.45316233481251E-2</v>
      </c>
      <c r="D172" s="29" t="str">
        <f t="shared" si="4"/>
        <v>M</v>
      </c>
      <c r="E172" s="29" t="str">
        <f t="shared" si="5"/>
        <v>30_34</v>
      </c>
      <c r="F172" s="29">
        <f>VLOOKUP(A172,POPN!$A$1:$B$39,2,FALSE)*(1+GROWTH!C172)</f>
        <v>18245.336714292684</v>
      </c>
    </row>
    <row r="173" spans="1:6" x14ac:dyDescent="0.25">
      <c r="A173" t="s">
        <v>27</v>
      </c>
      <c r="B173">
        <v>2037</v>
      </c>
      <c r="C173">
        <v>2.6216657726630101E-2</v>
      </c>
      <c r="D173" s="29" t="str">
        <f t="shared" si="4"/>
        <v>M</v>
      </c>
      <c r="E173" s="29" t="str">
        <f t="shared" si="5"/>
        <v>30_34</v>
      </c>
      <c r="F173" s="29">
        <f>VLOOKUP(A173,POPN!$A$1:$B$39,2,FALSE)*(1+GROWTH!C173)</f>
        <v>18455.480372555714</v>
      </c>
    </row>
    <row r="174" spans="1:6" x14ac:dyDescent="0.25">
      <c r="A174" t="s">
        <v>27</v>
      </c>
      <c r="B174">
        <v>2038</v>
      </c>
      <c r="C174">
        <v>3.9126883503194099E-2</v>
      </c>
      <c r="D174" s="29" t="str">
        <f t="shared" si="4"/>
        <v>M</v>
      </c>
      <c r="E174" s="29" t="str">
        <f t="shared" si="5"/>
        <v>30_34</v>
      </c>
      <c r="F174" s="29">
        <f>VLOOKUP(A174,POPN!$A$1:$B$39,2,FALSE)*(1+GROWTH!C174)</f>
        <v>18687.657872921445</v>
      </c>
    </row>
    <row r="175" spans="1:6" x14ac:dyDescent="0.25">
      <c r="A175" t="s">
        <v>27</v>
      </c>
      <c r="B175">
        <v>2039</v>
      </c>
      <c r="C175">
        <v>4.7563027258984897E-2</v>
      </c>
      <c r="D175" s="29" t="str">
        <f t="shared" si="4"/>
        <v>M</v>
      </c>
      <c r="E175" s="29" t="str">
        <f t="shared" si="5"/>
        <v>30_34</v>
      </c>
      <c r="F175" s="29">
        <f>VLOOKUP(A175,POPN!$A$1:$B$39,2,FALSE)*(1+GROWTH!C175)</f>
        <v>18839.373482225583</v>
      </c>
    </row>
    <row r="176" spans="1:6" x14ac:dyDescent="0.25">
      <c r="A176" t="s">
        <v>27</v>
      </c>
      <c r="B176">
        <v>2040</v>
      </c>
      <c r="C176">
        <v>5.8254498463939201E-2</v>
      </c>
      <c r="D176" s="29" t="str">
        <f t="shared" si="4"/>
        <v>M</v>
      </c>
      <c r="E176" s="29" t="str">
        <f t="shared" si="5"/>
        <v>30_34</v>
      </c>
      <c r="F176" s="29">
        <f>VLOOKUP(A176,POPN!$A$1:$B$39,2,FALSE)*(1+GROWTH!C176)</f>
        <v>19031.648900375483</v>
      </c>
    </row>
    <row r="177" spans="1:6" x14ac:dyDescent="0.25">
      <c r="A177" t="s">
        <v>27</v>
      </c>
      <c r="B177">
        <v>2041</v>
      </c>
      <c r="C177">
        <v>7.2920222363095699E-2</v>
      </c>
      <c r="D177" s="29" t="str">
        <f t="shared" si="4"/>
        <v>M</v>
      </c>
      <c r="E177" s="29" t="str">
        <f t="shared" si="5"/>
        <v>30_34</v>
      </c>
      <c r="F177" s="29">
        <f>VLOOKUP(A177,POPN!$A$1:$B$39,2,FALSE)*(1+GROWTH!C177)</f>
        <v>19295.397278977915</v>
      </c>
    </row>
    <row r="178" spans="1:6" x14ac:dyDescent="0.25">
      <c r="A178" t="s">
        <v>27</v>
      </c>
      <c r="B178">
        <v>2042</v>
      </c>
      <c r="C178">
        <v>8.35568342517191E-2</v>
      </c>
      <c r="D178" s="29" t="str">
        <f t="shared" si="4"/>
        <v>M</v>
      </c>
      <c r="E178" s="29" t="str">
        <f t="shared" si="5"/>
        <v>30_34</v>
      </c>
      <c r="F178" s="29">
        <f>VLOOKUP(A178,POPN!$A$1:$B$39,2,FALSE)*(1+GROWTH!C178)</f>
        <v>19486.686107182915</v>
      </c>
    </row>
    <row r="179" spans="1:6" x14ac:dyDescent="0.25">
      <c r="A179" t="s">
        <v>27</v>
      </c>
      <c r="B179">
        <v>2043</v>
      </c>
      <c r="C179">
        <v>8.2825376700638997E-2</v>
      </c>
      <c r="D179" s="29" t="str">
        <f t="shared" si="4"/>
        <v>M</v>
      </c>
      <c r="E179" s="29" t="str">
        <f t="shared" si="5"/>
        <v>30_34</v>
      </c>
      <c r="F179" s="29">
        <f>VLOOKUP(A179,POPN!$A$1:$B$39,2,FALSE)*(1+GROWTH!C179)</f>
        <v>19473.531574584293</v>
      </c>
    </row>
    <row r="180" spans="1:6" x14ac:dyDescent="0.25">
      <c r="A180" t="s">
        <v>27</v>
      </c>
      <c r="B180">
        <v>2044</v>
      </c>
      <c r="C180">
        <v>8.0283561710635498E-2</v>
      </c>
      <c r="D180" s="29" t="str">
        <f t="shared" si="4"/>
        <v>M</v>
      </c>
      <c r="E180" s="29" t="str">
        <f t="shared" si="5"/>
        <v>30_34</v>
      </c>
      <c r="F180" s="29">
        <f>VLOOKUP(A180,POPN!$A$1:$B$39,2,FALSE)*(1+GROWTH!C180)</f>
        <v>19427.819573804067</v>
      </c>
    </row>
    <row r="181" spans="1:6" x14ac:dyDescent="0.25">
      <c r="A181" t="s">
        <v>27</v>
      </c>
      <c r="B181">
        <v>2045</v>
      </c>
      <c r="C181">
        <v>7.5084117618374399E-2</v>
      </c>
      <c r="D181" s="29" t="str">
        <f t="shared" si="4"/>
        <v>M</v>
      </c>
      <c r="E181" s="29" t="str">
        <f t="shared" si="5"/>
        <v>30_34</v>
      </c>
      <c r="F181" s="29">
        <f>VLOOKUP(A181,POPN!$A$1:$B$39,2,FALSE)*(1+GROWTH!C181)</f>
        <v>19334.312771248842</v>
      </c>
    </row>
    <row r="182" spans="1:6" x14ac:dyDescent="0.25">
      <c r="A182" t="s">
        <v>27</v>
      </c>
      <c r="B182">
        <v>2046</v>
      </c>
      <c r="C182">
        <v>6.9214170770956304E-2</v>
      </c>
      <c r="D182" s="29" t="str">
        <f t="shared" si="4"/>
        <v>M</v>
      </c>
      <c r="E182" s="29" t="str">
        <f t="shared" si="5"/>
        <v>30_34</v>
      </c>
      <c r="F182" s="29">
        <f>VLOOKUP(A182,POPN!$A$1:$B$39,2,FALSE)*(1+GROWTH!C182)</f>
        <v>19228.747647144879</v>
      </c>
    </row>
    <row r="183" spans="1:6" x14ac:dyDescent="0.25">
      <c r="A183" t="s">
        <v>27</v>
      </c>
      <c r="B183">
        <v>2047</v>
      </c>
      <c r="C183">
        <v>5.6779392402594199E-2</v>
      </c>
      <c r="D183" s="29" t="str">
        <f t="shared" si="4"/>
        <v>M</v>
      </c>
      <c r="E183" s="29" t="str">
        <f t="shared" si="5"/>
        <v>30_34</v>
      </c>
      <c r="F183" s="29">
        <f>VLOOKUP(A183,POPN!$A$1:$B$39,2,FALSE)*(1+GROWTH!C183)</f>
        <v>19005.120592968251</v>
      </c>
    </row>
    <row r="184" spans="1:6" x14ac:dyDescent="0.25">
      <c r="A184" t="s">
        <v>28</v>
      </c>
      <c r="B184">
        <v>2022</v>
      </c>
      <c r="C184">
        <v>-8.1933383877826699E-2</v>
      </c>
      <c r="D184" s="29" t="str">
        <f t="shared" si="4"/>
        <v>M</v>
      </c>
      <c r="E184" s="29" t="str">
        <f t="shared" si="5"/>
        <v>35_39</v>
      </c>
      <c r="F184" s="29">
        <f>VLOOKUP(A184,POPN!$A$1:$B$39,2,FALSE)*(1+GROWTH!C184)</f>
        <v>17880.265415595448</v>
      </c>
    </row>
    <row r="185" spans="1:6" x14ac:dyDescent="0.25">
      <c r="A185" t="s">
        <v>28</v>
      </c>
      <c r="B185">
        <v>2023</v>
      </c>
      <c r="C185">
        <v>-5.6035981598764099E-2</v>
      </c>
      <c r="D185" s="29" t="str">
        <f t="shared" si="4"/>
        <v>M</v>
      </c>
      <c r="E185" s="29" t="str">
        <f t="shared" si="5"/>
        <v>35_39</v>
      </c>
      <c r="F185" s="29">
        <f>VLOOKUP(A185,POPN!$A$1:$B$39,2,FALSE)*(1+GROWTH!C185)</f>
        <v>18384.64322238247</v>
      </c>
    </row>
    <row r="186" spans="1:6" x14ac:dyDescent="0.25">
      <c r="A186" t="s">
        <v>28</v>
      </c>
      <c r="B186">
        <v>2024</v>
      </c>
      <c r="C186">
        <v>-2.2551204802106799E-2</v>
      </c>
      <c r="D186" s="29" t="str">
        <f t="shared" si="4"/>
        <v>M</v>
      </c>
      <c r="E186" s="29" t="str">
        <f t="shared" si="5"/>
        <v>35_39</v>
      </c>
      <c r="F186" s="29">
        <f>VLOOKUP(A186,POPN!$A$1:$B$39,2,FALSE)*(1+GROWTH!C186)</f>
        <v>19036.792735274168</v>
      </c>
    </row>
    <row r="187" spans="1:6" x14ac:dyDescent="0.25">
      <c r="A187" t="s">
        <v>28</v>
      </c>
      <c r="B187">
        <v>2025</v>
      </c>
      <c r="C187">
        <v>0</v>
      </c>
      <c r="D187" s="29" t="str">
        <f t="shared" si="4"/>
        <v>M</v>
      </c>
      <c r="E187" s="29" t="str">
        <f t="shared" si="5"/>
        <v>35_39</v>
      </c>
      <c r="F187" s="29">
        <f>VLOOKUP(A187,POPN!$A$1:$B$39,2,FALSE)*(1+GROWTH!C187)</f>
        <v>19476</v>
      </c>
    </row>
    <row r="188" spans="1:6" x14ac:dyDescent="0.25">
      <c r="A188" t="s">
        <v>28</v>
      </c>
      <c r="B188">
        <v>2026</v>
      </c>
      <c r="C188">
        <v>9.7763691192147006E-3</v>
      </c>
      <c r="D188" s="29" t="str">
        <f t="shared" si="4"/>
        <v>M</v>
      </c>
      <c r="E188" s="29" t="str">
        <f t="shared" si="5"/>
        <v>35_39</v>
      </c>
      <c r="F188" s="29">
        <f>VLOOKUP(A188,POPN!$A$1:$B$39,2,FALSE)*(1+GROWTH!C188)</f>
        <v>19666.404564965826</v>
      </c>
    </row>
    <row r="189" spans="1:6" x14ac:dyDescent="0.25">
      <c r="A189" t="s">
        <v>28</v>
      </c>
      <c r="B189">
        <v>2027</v>
      </c>
      <c r="C189">
        <v>2.37027071706674E-2</v>
      </c>
      <c r="D189" s="29" t="str">
        <f t="shared" si="4"/>
        <v>M</v>
      </c>
      <c r="E189" s="29" t="str">
        <f t="shared" si="5"/>
        <v>35_39</v>
      </c>
      <c r="F189" s="29">
        <f>VLOOKUP(A189,POPN!$A$1:$B$39,2,FALSE)*(1+GROWTH!C189)</f>
        <v>19937.63392485592</v>
      </c>
    </row>
    <row r="190" spans="1:6" x14ac:dyDescent="0.25">
      <c r="A190" t="s">
        <v>28</v>
      </c>
      <c r="B190">
        <v>2028</v>
      </c>
      <c r="C190">
        <v>2.29331387560354E-2</v>
      </c>
      <c r="D190" s="29" t="str">
        <f t="shared" si="4"/>
        <v>M</v>
      </c>
      <c r="E190" s="29" t="str">
        <f t="shared" si="5"/>
        <v>35_39</v>
      </c>
      <c r="F190" s="29">
        <f>VLOOKUP(A190,POPN!$A$1:$B$39,2,FALSE)*(1+GROWTH!C190)</f>
        <v>19922.645810412545</v>
      </c>
    </row>
    <row r="191" spans="1:6" x14ac:dyDescent="0.25">
      <c r="A191" t="s">
        <v>28</v>
      </c>
      <c r="B191">
        <v>2029</v>
      </c>
      <c r="C191">
        <v>2.7681660899654102E-2</v>
      </c>
      <c r="D191" s="29" t="str">
        <f t="shared" si="4"/>
        <v>M</v>
      </c>
      <c r="E191" s="29" t="str">
        <f t="shared" si="5"/>
        <v>35_39</v>
      </c>
      <c r="F191" s="29">
        <f>VLOOKUP(A191,POPN!$A$1:$B$39,2,FALSE)*(1+GROWTH!C191)</f>
        <v>20015.128027681665</v>
      </c>
    </row>
    <row r="192" spans="1:6" x14ac:dyDescent="0.25">
      <c r="A192" t="s">
        <v>28</v>
      </c>
      <c r="B192">
        <v>2030</v>
      </c>
      <c r="C192">
        <v>2.06586365527896E-2</v>
      </c>
      <c r="D192" s="29" t="str">
        <f t="shared" si="4"/>
        <v>M</v>
      </c>
      <c r="E192" s="29" t="str">
        <f t="shared" si="5"/>
        <v>35_39</v>
      </c>
      <c r="F192" s="29">
        <f>VLOOKUP(A192,POPN!$A$1:$B$39,2,FALSE)*(1+GROWTH!C192)</f>
        <v>19878.347605502131</v>
      </c>
    </row>
    <row r="193" spans="1:6" x14ac:dyDescent="0.25">
      <c r="A193" t="s">
        <v>28</v>
      </c>
      <c r="B193">
        <v>2031</v>
      </c>
      <c r="C193">
        <v>1.8201718132742E-2</v>
      </c>
      <c r="D193" s="29" t="str">
        <f t="shared" si="4"/>
        <v>M</v>
      </c>
      <c r="E193" s="29" t="str">
        <f t="shared" si="5"/>
        <v>35_39</v>
      </c>
      <c r="F193" s="29">
        <f>VLOOKUP(A193,POPN!$A$1:$B$39,2,FALSE)*(1+GROWTH!C193)</f>
        <v>19830.496662353286</v>
      </c>
    </row>
    <row r="194" spans="1:6" x14ac:dyDescent="0.25">
      <c r="A194" t="s">
        <v>28</v>
      </c>
      <c r="B194">
        <v>2032</v>
      </c>
      <c r="C194">
        <v>2.0789748208615799E-2</v>
      </c>
      <c r="D194" s="29" t="str">
        <f t="shared" si="4"/>
        <v>M</v>
      </c>
      <c r="E194" s="29" t="str">
        <f t="shared" si="5"/>
        <v>35_39</v>
      </c>
      <c r="F194" s="29">
        <f>VLOOKUP(A194,POPN!$A$1:$B$39,2,FALSE)*(1+GROWTH!C194)</f>
        <v>19880.901136111002</v>
      </c>
    </row>
    <row r="195" spans="1:6" x14ac:dyDescent="0.25">
      <c r="A195" t="s">
        <v>28</v>
      </c>
      <c r="B195">
        <v>2033</v>
      </c>
      <c r="C195">
        <v>2.54014581896332E-2</v>
      </c>
      <c r="D195" s="29" t="str">
        <f t="shared" ref="D195:D258" si="6">LEFT(A195,1)</f>
        <v>M</v>
      </c>
      <c r="E195" s="29" t="str">
        <f t="shared" ref="E195:E258" si="7">MID(A195,3,LEN(A195)-2)</f>
        <v>35_39</v>
      </c>
      <c r="F195" s="29">
        <f>VLOOKUP(A195,POPN!$A$1:$B$39,2,FALSE)*(1+GROWTH!C195)</f>
        <v>19970.718799701295</v>
      </c>
    </row>
    <row r="196" spans="1:6" x14ac:dyDescent="0.25">
      <c r="A196" t="s">
        <v>28</v>
      </c>
      <c r="B196">
        <v>2034</v>
      </c>
      <c r="C196">
        <v>2.4586285720800499E-2</v>
      </c>
      <c r="D196" s="29" t="str">
        <f t="shared" si="6"/>
        <v>M</v>
      </c>
      <c r="E196" s="29" t="str">
        <f t="shared" si="7"/>
        <v>35_39</v>
      </c>
      <c r="F196" s="29">
        <f>VLOOKUP(A196,POPN!$A$1:$B$39,2,FALSE)*(1+GROWTH!C196)</f>
        <v>19954.842500698313</v>
      </c>
    </row>
    <row r="197" spans="1:6" x14ac:dyDescent="0.25">
      <c r="A197" t="s">
        <v>28</v>
      </c>
      <c r="B197">
        <v>2035</v>
      </c>
      <c r="C197">
        <v>3.0132878812926599E-2</v>
      </c>
      <c r="D197" s="29" t="str">
        <f t="shared" si="6"/>
        <v>M</v>
      </c>
      <c r="E197" s="29" t="str">
        <f t="shared" si="7"/>
        <v>35_39</v>
      </c>
      <c r="F197" s="29">
        <f>VLOOKUP(A197,POPN!$A$1:$B$39,2,FALSE)*(1+GROWTH!C197)</f>
        <v>20062.867947760562</v>
      </c>
    </row>
    <row r="198" spans="1:6" x14ac:dyDescent="0.25">
      <c r="A198" t="s">
        <v>28</v>
      </c>
      <c r="B198">
        <v>2036</v>
      </c>
      <c r="C198">
        <v>3.0936650268208899E-2</v>
      </c>
      <c r="D198" s="29" t="str">
        <f t="shared" si="6"/>
        <v>M</v>
      </c>
      <c r="E198" s="29" t="str">
        <f t="shared" si="7"/>
        <v>35_39</v>
      </c>
      <c r="F198" s="29">
        <f>VLOOKUP(A198,POPN!$A$1:$B$39,2,FALSE)*(1+GROWTH!C198)</f>
        <v>20078.522200623636</v>
      </c>
    </row>
    <row r="199" spans="1:6" x14ac:dyDescent="0.25">
      <c r="A199" t="s">
        <v>28</v>
      </c>
      <c r="B199">
        <v>2037</v>
      </c>
      <c r="C199">
        <v>2.7288325932175402E-2</v>
      </c>
      <c r="D199" s="29" t="str">
        <f t="shared" si="6"/>
        <v>M</v>
      </c>
      <c r="E199" s="29" t="str">
        <f t="shared" si="7"/>
        <v>35_39</v>
      </c>
      <c r="F199" s="29">
        <f>VLOOKUP(A199,POPN!$A$1:$B$39,2,FALSE)*(1+GROWTH!C199)</f>
        <v>20007.467435855047</v>
      </c>
    </row>
    <row r="200" spans="1:6" x14ac:dyDescent="0.25">
      <c r="A200" t="s">
        <v>28</v>
      </c>
      <c r="B200">
        <v>2038</v>
      </c>
      <c r="C200">
        <v>3.0600320368480701E-2</v>
      </c>
      <c r="D200" s="29" t="str">
        <f t="shared" si="6"/>
        <v>M</v>
      </c>
      <c r="E200" s="29" t="str">
        <f t="shared" si="7"/>
        <v>35_39</v>
      </c>
      <c r="F200" s="29">
        <f>VLOOKUP(A200,POPN!$A$1:$B$39,2,FALSE)*(1+GROWTH!C200)</f>
        <v>20071.971839496528</v>
      </c>
    </row>
    <row r="201" spans="1:6" x14ac:dyDescent="0.25">
      <c r="A201" t="s">
        <v>28</v>
      </c>
      <c r="B201">
        <v>2039</v>
      </c>
      <c r="C201">
        <v>3.52405328833734E-2</v>
      </c>
      <c r="D201" s="29" t="str">
        <f t="shared" si="6"/>
        <v>M</v>
      </c>
      <c r="E201" s="29" t="str">
        <f t="shared" si="7"/>
        <v>35_39</v>
      </c>
      <c r="F201" s="29">
        <f>VLOOKUP(A201,POPN!$A$1:$B$39,2,FALSE)*(1+GROWTH!C201)</f>
        <v>20162.344618436578</v>
      </c>
    </row>
    <row r="202" spans="1:6" x14ac:dyDescent="0.25">
      <c r="A202" t="s">
        <v>28</v>
      </c>
      <c r="B202">
        <v>2040</v>
      </c>
      <c r="C202">
        <v>4.3118633246495702E-2</v>
      </c>
      <c r="D202" s="29" t="str">
        <f t="shared" si="6"/>
        <v>M</v>
      </c>
      <c r="E202" s="29" t="str">
        <f t="shared" si="7"/>
        <v>35_39</v>
      </c>
      <c r="F202" s="29">
        <f>VLOOKUP(A202,POPN!$A$1:$B$39,2,FALSE)*(1+GROWTH!C202)</f>
        <v>20315.778501108751</v>
      </c>
    </row>
    <row r="203" spans="1:6" x14ac:dyDescent="0.25">
      <c r="A203" t="s">
        <v>28</v>
      </c>
      <c r="B203">
        <v>2041</v>
      </c>
      <c r="C203">
        <v>5.51581035554062E-2</v>
      </c>
      <c r="D203" s="29" t="str">
        <f t="shared" si="6"/>
        <v>M</v>
      </c>
      <c r="E203" s="29" t="str">
        <f t="shared" si="7"/>
        <v>35_39</v>
      </c>
      <c r="F203" s="29">
        <f>VLOOKUP(A203,POPN!$A$1:$B$39,2,FALSE)*(1+GROWTH!C203)</f>
        <v>20550.259224845093</v>
      </c>
    </row>
    <row r="204" spans="1:6" x14ac:dyDescent="0.25">
      <c r="A204" t="s">
        <v>28</v>
      </c>
      <c r="B204">
        <v>2042</v>
      </c>
      <c r="C204">
        <v>6.7619411365670498E-2</v>
      </c>
      <c r="D204" s="29" t="str">
        <f t="shared" si="6"/>
        <v>M</v>
      </c>
      <c r="E204" s="29" t="str">
        <f t="shared" si="7"/>
        <v>35_39</v>
      </c>
      <c r="F204" s="29">
        <f>VLOOKUP(A204,POPN!$A$1:$B$39,2,FALSE)*(1+GROWTH!C204)</f>
        <v>20792.9556557578</v>
      </c>
    </row>
    <row r="205" spans="1:6" x14ac:dyDescent="0.25">
      <c r="A205" t="s">
        <v>28</v>
      </c>
      <c r="B205">
        <v>2043</v>
      </c>
      <c r="C205">
        <v>8.1032703807368503E-2</v>
      </c>
      <c r="D205" s="29" t="str">
        <f t="shared" si="6"/>
        <v>M</v>
      </c>
      <c r="E205" s="29" t="str">
        <f t="shared" si="7"/>
        <v>35_39</v>
      </c>
      <c r="F205" s="29">
        <f>VLOOKUP(A205,POPN!$A$1:$B$39,2,FALSE)*(1+GROWTH!C205)</f>
        <v>21054.19293935231</v>
      </c>
    </row>
    <row r="206" spans="1:6" x14ac:dyDescent="0.25">
      <c r="A206" t="s">
        <v>28</v>
      </c>
      <c r="B206">
        <v>2044</v>
      </c>
      <c r="C206">
        <v>8.9600565490272094E-2</v>
      </c>
      <c r="D206" s="29" t="str">
        <f t="shared" si="6"/>
        <v>M</v>
      </c>
      <c r="E206" s="29" t="str">
        <f t="shared" si="7"/>
        <v>35_39</v>
      </c>
      <c r="F206" s="29">
        <f>VLOOKUP(A206,POPN!$A$1:$B$39,2,FALSE)*(1+GROWTH!C206)</f>
        <v>21221.060613488538</v>
      </c>
    </row>
    <row r="207" spans="1:6" x14ac:dyDescent="0.25">
      <c r="A207" t="s">
        <v>28</v>
      </c>
      <c r="B207">
        <v>2045</v>
      </c>
      <c r="C207">
        <v>0.100499934444172</v>
      </c>
      <c r="D207" s="29" t="str">
        <f t="shared" si="6"/>
        <v>M</v>
      </c>
      <c r="E207" s="29" t="str">
        <f t="shared" si="7"/>
        <v>35_39</v>
      </c>
      <c r="F207" s="29">
        <f>VLOOKUP(A207,POPN!$A$1:$B$39,2,FALSE)*(1+GROWTH!C207)</f>
        <v>21433.336723234694</v>
      </c>
    </row>
    <row r="208" spans="1:6" x14ac:dyDescent="0.25">
      <c r="A208" t="s">
        <v>28</v>
      </c>
      <c r="B208">
        <v>2046</v>
      </c>
      <c r="C208">
        <v>0.115452363715134</v>
      </c>
      <c r="D208" s="29" t="str">
        <f t="shared" si="6"/>
        <v>M</v>
      </c>
      <c r="E208" s="29" t="str">
        <f t="shared" si="7"/>
        <v>35_39</v>
      </c>
      <c r="F208" s="29">
        <f>VLOOKUP(A208,POPN!$A$1:$B$39,2,FALSE)*(1+GROWTH!C208)</f>
        <v>21724.550235715949</v>
      </c>
    </row>
    <row r="209" spans="1:6" x14ac:dyDescent="0.25">
      <c r="A209" t="s">
        <v>28</v>
      </c>
      <c r="B209">
        <v>2047</v>
      </c>
      <c r="C209">
        <v>0.126574052433261</v>
      </c>
      <c r="D209" s="29" t="str">
        <f t="shared" si="6"/>
        <v>M</v>
      </c>
      <c r="E209" s="29" t="str">
        <f t="shared" si="7"/>
        <v>35_39</v>
      </c>
      <c r="F209" s="29">
        <f>VLOOKUP(A209,POPN!$A$1:$B$39,2,FALSE)*(1+GROWTH!C209)</f>
        <v>21941.156245190192</v>
      </c>
    </row>
    <row r="210" spans="1:6" x14ac:dyDescent="0.25">
      <c r="A210" t="s">
        <v>29</v>
      </c>
      <c r="B210">
        <v>2022</v>
      </c>
      <c r="C210">
        <v>-7.4933288458302202E-2</v>
      </c>
      <c r="D210" s="29" t="str">
        <f t="shared" si="6"/>
        <v>M</v>
      </c>
      <c r="E210" s="29" t="str">
        <f t="shared" si="7"/>
        <v>40_44</v>
      </c>
      <c r="F210" s="29">
        <f>VLOOKUP(A210,POPN!$A$1:$B$39,2,FALSE)*(1+GROWTH!C210)</f>
        <v>17208.090968098662</v>
      </c>
    </row>
    <row r="211" spans="1:6" x14ac:dyDescent="0.25">
      <c r="A211" t="s">
        <v>29</v>
      </c>
      <c r="B211">
        <v>2023</v>
      </c>
      <c r="C211">
        <v>-3.3662283337740601E-2</v>
      </c>
      <c r="D211" s="29" t="str">
        <f t="shared" si="6"/>
        <v>M</v>
      </c>
      <c r="E211" s="29" t="str">
        <f t="shared" si="7"/>
        <v>40_44</v>
      </c>
      <c r="F211" s="29">
        <f>VLOOKUP(A211,POPN!$A$1:$B$39,2,FALSE)*(1+GROWTH!C211)</f>
        <v>17975.814205351351</v>
      </c>
    </row>
    <row r="212" spans="1:6" x14ac:dyDescent="0.25">
      <c r="A212" t="s">
        <v>29</v>
      </c>
      <c r="B212">
        <v>2024</v>
      </c>
      <c r="C212">
        <v>-1.7849844940740899E-2</v>
      </c>
      <c r="D212" s="29" t="str">
        <f t="shared" si="6"/>
        <v>M</v>
      </c>
      <c r="E212" s="29" t="str">
        <f t="shared" si="7"/>
        <v>40_44</v>
      </c>
      <c r="F212" s="29">
        <f>VLOOKUP(A212,POPN!$A$1:$B$39,2,FALSE)*(1+GROWTH!C212)</f>
        <v>18269.957184412338</v>
      </c>
    </row>
    <row r="213" spans="1:6" x14ac:dyDescent="0.25">
      <c r="A213" t="s">
        <v>29</v>
      </c>
      <c r="B213">
        <v>2025</v>
      </c>
      <c r="C213">
        <v>0</v>
      </c>
      <c r="D213" s="29" t="str">
        <f t="shared" si="6"/>
        <v>M</v>
      </c>
      <c r="E213" s="29" t="str">
        <f t="shared" si="7"/>
        <v>40_44</v>
      </c>
      <c r="F213" s="29">
        <f>VLOOKUP(A213,POPN!$A$1:$B$39,2,FALSE)*(1+GROWTH!C213)</f>
        <v>18602</v>
      </c>
    </row>
    <row r="214" spans="1:6" x14ac:dyDescent="0.25">
      <c r="A214" t="s">
        <v>29</v>
      </c>
      <c r="B214">
        <v>2026</v>
      </c>
      <c r="C214">
        <v>2.2020818809048801E-2</v>
      </c>
      <c r="D214" s="29" t="str">
        <f t="shared" si="6"/>
        <v>M</v>
      </c>
      <c r="E214" s="29" t="str">
        <f t="shared" si="7"/>
        <v>40_44</v>
      </c>
      <c r="F214" s="29">
        <f>VLOOKUP(A214,POPN!$A$1:$B$39,2,FALSE)*(1+GROWTH!C214)</f>
        <v>19011.631271485923</v>
      </c>
    </row>
    <row r="215" spans="1:6" x14ac:dyDescent="0.25">
      <c r="A215" t="s">
        <v>29</v>
      </c>
      <c r="B215">
        <v>2027</v>
      </c>
      <c r="C215">
        <v>3.6204533980816002E-2</v>
      </c>
      <c r="D215" s="29" t="str">
        <f t="shared" si="6"/>
        <v>M</v>
      </c>
      <c r="E215" s="29" t="str">
        <f t="shared" si="7"/>
        <v>40_44</v>
      </c>
      <c r="F215" s="29">
        <f>VLOOKUP(A215,POPN!$A$1:$B$39,2,FALSE)*(1+GROWTH!C215)</f>
        <v>19275.476741111139</v>
      </c>
    </row>
    <row r="216" spans="1:6" x14ac:dyDescent="0.25">
      <c r="A216" t="s">
        <v>29</v>
      </c>
      <c r="B216">
        <v>2028</v>
      </c>
      <c r="C216">
        <v>5.8489794937134902E-2</v>
      </c>
      <c r="D216" s="29" t="str">
        <f t="shared" si="6"/>
        <v>M</v>
      </c>
      <c r="E216" s="29" t="str">
        <f t="shared" si="7"/>
        <v>40_44</v>
      </c>
      <c r="F216" s="29">
        <f>VLOOKUP(A216,POPN!$A$1:$B$39,2,FALSE)*(1+GROWTH!C216)</f>
        <v>19690.027165420583</v>
      </c>
    </row>
    <row r="217" spans="1:6" x14ac:dyDescent="0.25">
      <c r="A217" t="s">
        <v>29</v>
      </c>
      <c r="B217">
        <v>2029</v>
      </c>
      <c r="C217">
        <v>8.9483616606966895E-2</v>
      </c>
      <c r="D217" s="29" t="str">
        <f t="shared" si="6"/>
        <v>M</v>
      </c>
      <c r="E217" s="29" t="str">
        <f t="shared" si="7"/>
        <v>40_44</v>
      </c>
      <c r="F217" s="29">
        <f>VLOOKUP(A217,POPN!$A$1:$B$39,2,FALSE)*(1+GROWTH!C217)</f>
        <v>20266.574236122797</v>
      </c>
    </row>
    <row r="218" spans="1:6" x14ac:dyDescent="0.25">
      <c r="A218" t="s">
        <v>29</v>
      </c>
      <c r="B218">
        <v>2030</v>
      </c>
      <c r="C218">
        <v>0.113223309373272</v>
      </c>
      <c r="D218" s="29" t="str">
        <f t="shared" si="6"/>
        <v>M</v>
      </c>
      <c r="E218" s="29" t="str">
        <f t="shared" si="7"/>
        <v>40_44</v>
      </c>
      <c r="F218" s="29">
        <f>VLOOKUP(A218,POPN!$A$1:$B$39,2,FALSE)*(1+GROWTH!C218)</f>
        <v>20708.180000961605</v>
      </c>
    </row>
    <row r="219" spans="1:6" x14ac:dyDescent="0.25">
      <c r="A219" t="s">
        <v>29</v>
      </c>
      <c r="B219">
        <v>2031</v>
      </c>
      <c r="C219">
        <v>0.12674591917686401</v>
      </c>
      <c r="D219" s="29" t="str">
        <f t="shared" si="6"/>
        <v>M</v>
      </c>
      <c r="E219" s="29" t="str">
        <f t="shared" si="7"/>
        <v>40_44</v>
      </c>
      <c r="F219" s="29">
        <f>VLOOKUP(A219,POPN!$A$1:$B$39,2,FALSE)*(1+GROWTH!C219)</f>
        <v>20959.727588528025</v>
      </c>
    </row>
    <row r="220" spans="1:6" x14ac:dyDescent="0.25">
      <c r="A220" t="s">
        <v>29</v>
      </c>
      <c r="B220">
        <v>2032</v>
      </c>
      <c r="C220">
        <v>0.14328557347885701</v>
      </c>
      <c r="D220" s="29" t="str">
        <f t="shared" si="6"/>
        <v>M</v>
      </c>
      <c r="E220" s="29" t="str">
        <f t="shared" si="7"/>
        <v>40_44</v>
      </c>
      <c r="F220" s="29">
        <f>VLOOKUP(A220,POPN!$A$1:$B$39,2,FALSE)*(1+GROWTH!C220)</f>
        <v>21267.398237853697</v>
      </c>
    </row>
    <row r="221" spans="1:6" x14ac:dyDescent="0.25">
      <c r="A221" t="s">
        <v>29</v>
      </c>
      <c r="B221">
        <v>2033</v>
      </c>
      <c r="C221">
        <v>0.14475202538644599</v>
      </c>
      <c r="D221" s="29" t="str">
        <f t="shared" si="6"/>
        <v>M</v>
      </c>
      <c r="E221" s="29" t="str">
        <f t="shared" si="7"/>
        <v>40_44</v>
      </c>
      <c r="F221" s="29">
        <f>VLOOKUP(A221,POPN!$A$1:$B$39,2,FALSE)*(1+GROWTH!C221)</f>
        <v>21294.677176238671</v>
      </c>
    </row>
    <row r="222" spans="1:6" x14ac:dyDescent="0.25">
      <c r="A222" t="s">
        <v>29</v>
      </c>
      <c r="B222">
        <v>2034</v>
      </c>
      <c r="C222">
        <v>0.151200807750559</v>
      </c>
      <c r="D222" s="29" t="str">
        <f t="shared" si="6"/>
        <v>M</v>
      </c>
      <c r="E222" s="29" t="str">
        <f t="shared" si="7"/>
        <v>40_44</v>
      </c>
      <c r="F222" s="29">
        <f>VLOOKUP(A222,POPN!$A$1:$B$39,2,FALSE)*(1+GROWTH!C222)</f>
        <v>21414.637425775902</v>
      </c>
    </row>
    <row r="223" spans="1:6" x14ac:dyDescent="0.25">
      <c r="A223" t="s">
        <v>29</v>
      </c>
      <c r="B223">
        <v>2035</v>
      </c>
      <c r="C223">
        <v>0.14608024617159901</v>
      </c>
      <c r="D223" s="29" t="str">
        <f t="shared" si="6"/>
        <v>M</v>
      </c>
      <c r="E223" s="29" t="str">
        <f t="shared" si="7"/>
        <v>40_44</v>
      </c>
      <c r="F223" s="29">
        <f>VLOOKUP(A223,POPN!$A$1:$B$39,2,FALSE)*(1+GROWTH!C223)</f>
        <v>21319.384739284087</v>
      </c>
    </row>
    <row r="224" spans="1:6" x14ac:dyDescent="0.25">
      <c r="A224" t="s">
        <v>29</v>
      </c>
      <c r="B224">
        <v>2036</v>
      </c>
      <c r="C224">
        <v>0.14489626655768501</v>
      </c>
      <c r="D224" s="29" t="str">
        <f t="shared" si="6"/>
        <v>M</v>
      </c>
      <c r="E224" s="29" t="str">
        <f t="shared" si="7"/>
        <v>40_44</v>
      </c>
      <c r="F224" s="29">
        <f>VLOOKUP(A224,POPN!$A$1:$B$39,2,FALSE)*(1+GROWTH!C224)</f>
        <v>21297.360350506056</v>
      </c>
    </row>
    <row r="225" spans="1:6" x14ac:dyDescent="0.25">
      <c r="A225" t="s">
        <v>29</v>
      </c>
      <c r="B225">
        <v>2037</v>
      </c>
      <c r="C225">
        <v>0.14917542130442099</v>
      </c>
      <c r="D225" s="29" t="str">
        <f t="shared" si="6"/>
        <v>M</v>
      </c>
      <c r="E225" s="29" t="str">
        <f t="shared" si="7"/>
        <v>40_44</v>
      </c>
      <c r="F225" s="29">
        <f>VLOOKUP(A225,POPN!$A$1:$B$39,2,FALSE)*(1+GROWTH!C225)</f>
        <v>21376.96118710484</v>
      </c>
    </row>
    <row r="226" spans="1:6" x14ac:dyDescent="0.25">
      <c r="A226" t="s">
        <v>29</v>
      </c>
      <c r="B226">
        <v>2038</v>
      </c>
      <c r="C226">
        <v>0.15554006298531101</v>
      </c>
      <c r="D226" s="29" t="str">
        <f t="shared" si="6"/>
        <v>M</v>
      </c>
      <c r="E226" s="29" t="str">
        <f t="shared" si="7"/>
        <v>40_44</v>
      </c>
      <c r="F226" s="29">
        <f>VLOOKUP(A226,POPN!$A$1:$B$39,2,FALSE)*(1+GROWTH!C226)</f>
        <v>21495.356251652756</v>
      </c>
    </row>
    <row r="227" spans="1:6" x14ac:dyDescent="0.25">
      <c r="A227" t="s">
        <v>29</v>
      </c>
      <c r="B227">
        <v>2039</v>
      </c>
      <c r="C227">
        <v>0.15676010289203501</v>
      </c>
      <c r="D227" s="29" t="str">
        <f t="shared" si="6"/>
        <v>M</v>
      </c>
      <c r="E227" s="29" t="str">
        <f t="shared" si="7"/>
        <v>40_44</v>
      </c>
      <c r="F227" s="29">
        <f>VLOOKUP(A227,POPN!$A$1:$B$39,2,FALSE)*(1+GROWTH!C227)</f>
        <v>21518.051433997636</v>
      </c>
    </row>
    <row r="228" spans="1:6" x14ac:dyDescent="0.25">
      <c r="A228" t="s">
        <v>29</v>
      </c>
      <c r="B228">
        <v>2040</v>
      </c>
      <c r="C228">
        <v>0.16321489530495001</v>
      </c>
      <c r="D228" s="29" t="str">
        <f t="shared" si="6"/>
        <v>M</v>
      </c>
      <c r="E228" s="29" t="str">
        <f t="shared" si="7"/>
        <v>40_44</v>
      </c>
      <c r="F228" s="29">
        <f>VLOOKUP(A228,POPN!$A$1:$B$39,2,FALSE)*(1+GROWTH!C228)</f>
        <v>21638.123482462677</v>
      </c>
    </row>
    <row r="229" spans="1:6" x14ac:dyDescent="0.25">
      <c r="A229" t="s">
        <v>29</v>
      </c>
      <c r="B229">
        <v>2041</v>
      </c>
      <c r="C229">
        <v>0.164621246724524</v>
      </c>
      <c r="D229" s="29" t="str">
        <f t="shared" si="6"/>
        <v>M</v>
      </c>
      <c r="E229" s="29" t="str">
        <f t="shared" si="7"/>
        <v>40_44</v>
      </c>
      <c r="F229" s="29">
        <f>VLOOKUP(A229,POPN!$A$1:$B$39,2,FALSE)*(1+GROWTH!C229)</f>
        <v>21664.284431569595</v>
      </c>
    </row>
    <row r="230" spans="1:6" x14ac:dyDescent="0.25">
      <c r="A230" t="s">
        <v>29</v>
      </c>
      <c r="B230">
        <v>2042</v>
      </c>
      <c r="C230">
        <v>0.16126162944443101</v>
      </c>
      <c r="D230" s="29" t="str">
        <f t="shared" si="6"/>
        <v>M</v>
      </c>
      <c r="E230" s="29" t="str">
        <f t="shared" si="7"/>
        <v>40_44</v>
      </c>
      <c r="F230" s="29">
        <f>VLOOKUP(A230,POPN!$A$1:$B$39,2,FALSE)*(1+GROWTH!C230)</f>
        <v>21601.788830925303</v>
      </c>
    </row>
    <row r="231" spans="1:6" x14ac:dyDescent="0.25">
      <c r="A231" t="s">
        <v>29</v>
      </c>
      <c r="B231">
        <v>2043</v>
      </c>
      <c r="C231">
        <v>0.16572108565521601</v>
      </c>
      <c r="D231" s="29" t="str">
        <f t="shared" si="6"/>
        <v>M</v>
      </c>
      <c r="E231" s="29" t="str">
        <f t="shared" si="7"/>
        <v>40_44</v>
      </c>
      <c r="F231" s="29">
        <f>VLOOKUP(A231,POPN!$A$1:$B$39,2,FALSE)*(1+GROWTH!C231)</f>
        <v>21684.743635358329</v>
      </c>
    </row>
    <row r="232" spans="1:6" x14ac:dyDescent="0.25">
      <c r="A232" t="s">
        <v>29</v>
      </c>
      <c r="B232">
        <v>2044</v>
      </c>
      <c r="C232">
        <v>0.171833305286439</v>
      </c>
      <c r="D232" s="29" t="str">
        <f t="shared" si="6"/>
        <v>M</v>
      </c>
      <c r="E232" s="29" t="str">
        <f t="shared" si="7"/>
        <v>40_44</v>
      </c>
      <c r="F232" s="29">
        <f>VLOOKUP(A232,POPN!$A$1:$B$39,2,FALSE)*(1+GROWTH!C232)</f>
        <v>21798.443144938337</v>
      </c>
    </row>
    <row r="233" spans="1:6" x14ac:dyDescent="0.25">
      <c r="A233" t="s">
        <v>29</v>
      </c>
      <c r="B233">
        <v>2045</v>
      </c>
      <c r="C233">
        <v>0.18161165468663601</v>
      </c>
      <c r="D233" s="29" t="str">
        <f t="shared" si="6"/>
        <v>M</v>
      </c>
      <c r="E233" s="29" t="str">
        <f t="shared" si="7"/>
        <v>40_44</v>
      </c>
      <c r="F233" s="29">
        <f>VLOOKUP(A233,POPN!$A$1:$B$39,2,FALSE)*(1+GROWTH!C233)</f>
        <v>21980.340000480803</v>
      </c>
    </row>
    <row r="234" spans="1:6" x14ac:dyDescent="0.25">
      <c r="A234" t="s">
        <v>29</v>
      </c>
      <c r="B234">
        <v>2046</v>
      </c>
      <c r="C234">
        <v>0.195188354929442</v>
      </c>
      <c r="D234" s="29" t="str">
        <f t="shared" si="6"/>
        <v>M</v>
      </c>
      <c r="E234" s="29" t="str">
        <f t="shared" si="7"/>
        <v>40_44</v>
      </c>
      <c r="F234" s="29">
        <f>VLOOKUP(A234,POPN!$A$1:$B$39,2,FALSE)*(1+GROWTH!C234)</f>
        <v>22232.89377839748</v>
      </c>
    </row>
    <row r="235" spans="1:6" x14ac:dyDescent="0.25">
      <c r="A235" t="s">
        <v>29</v>
      </c>
      <c r="B235">
        <v>2047</v>
      </c>
      <c r="C235">
        <v>0.20946222083323299</v>
      </c>
      <c r="D235" s="29" t="str">
        <f t="shared" si="6"/>
        <v>M</v>
      </c>
      <c r="E235" s="29" t="str">
        <f t="shared" si="7"/>
        <v>40_44</v>
      </c>
      <c r="F235" s="29">
        <f>VLOOKUP(A235,POPN!$A$1:$B$39,2,FALSE)*(1+GROWTH!C235)</f>
        <v>22498.416231939802</v>
      </c>
    </row>
    <row r="236" spans="1:6" x14ac:dyDescent="0.25">
      <c r="A236" t="s">
        <v>30</v>
      </c>
      <c r="B236">
        <v>2022</v>
      </c>
      <c r="C236">
        <v>1.6040039218953198E-2</v>
      </c>
      <c r="D236" s="29" t="str">
        <f t="shared" si="6"/>
        <v>M</v>
      </c>
      <c r="E236" s="29" t="str">
        <f t="shared" si="7"/>
        <v>45_49</v>
      </c>
      <c r="F236" s="29">
        <f>VLOOKUP(A236,POPN!$A$1:$B$39,2,FALSE)*(1+GROWTH!C236)</f>
        <v>17301.129787820337</v>
      </c>
    </row>
    <row r="237" spans="1:6" x14ac:dyDescent="0.25">
      <c r="A237" t="s">
        <v>30</v>
      </c>
      <c r="B237">
        <v>2023</v>
      </c>
      <c r="C237">
        <v>-1.12466115977878E-2</v>
      </c>
      <c r="D237" s="29" t="str">
        <f t="shared" si="6"/>
        <v>M</v>
      </c>
      <c r="E237" s="29" t="str">
        <f t="shared" si="7"/>
        <v>45_49</v>
      </c>
      <c r="F237" s="29">
        <f>VLOOKUP(A237,POPN!$A$1:$B$39,2,FALSE)*(1+GROWTH!C237)</f>
        <v>16836.492697712867</v>
      </c>
    </row>
    <row r="238" spans="1:6" x14ac:dyDescent="0.25">
      <c r="A238" t="s">
        <v>30</v>
      </c>
      <c r="B238">
        <v>2024</v>
      </c>
      <c r="C238">
        <v>-1.44571827718572E-2</v>
      </c>
      <c r="D238" s="29" t="str">
        <f t="shared" si="6"/>
        <v>M</v>
      </c>
      <c r="E238" s="29" t="str">
        <f t="shared" si="7"/>
        <v>45_49</v>
      </c>
      <c r="F238" s="29">
        <f>VLOOKUP(A238,POPN!$A$1:$B$39,2,FALSE)*(1+GROWTH!C238)</f>
        <v>16781.823091760816</v>
      </c>
    </row>
    <row r="239" spans="1:6" x14ac:dyDescent="0.25">
      <c r="A239" t="s">
        <v>30</v>
      </c>
      <c r="B239">
        <v>2025</v>
      </c>
      <c r="C239">
        <v>0</v>
      </c>
      <c r="D239" s="29" t="str">
        <f t="shared" si="6"/>
        <v>M</v>
      </c>
      <c r="E239" s="29" t="str">
        <f t="shared" si="7"/>
        <v>45_49</v>
      </c>
      <c r="F239" s="29">
        <f>VLOOKUP(A239,POPN!$A$1:$B$39,2,FALSE)*(1+GROWTH!C239)</f>
        <v>17028</v>
      </c>
    </row>
    <row r="240" spans="1:6" x14ac:dyDescent="0.25">
      <c r="A240" t="s">
        <v>30</v>
      </c>
      <c r="B240">
        <v>2026</v>
      </c>
      <c r="C240">
        <v>2.2531673149756098E-2</v>
      </c>
      <c r="D240" s="29" t="str">
        <f t="shared" si="6"/>
        <v>M</v>
      </c>
      <c r="E240" s="29" t="str">
        <f t="shared" si="7"/>
        <v>45_49</v>
      </c>
      <c r="F240" s="29">
        <f>VLOOKUP(A240,POPN!$A$1:$B$39,2,FALSE)*(1+GROWTH!C240)</f>
        <v>17411.669330394045</v>
      </c>
    </row>
    <row r="241" spans="1:6" x14ac:dyDescent="0.25">
      <c r="A241" t="s">
        <v>30</v>
      </c>
      <c r="B241">
        <v>2027</v>
      </c>
      <c r="C241">
        <v>5.5778066864470198E-2</v>
      </c>
      <c r="D241" s="29" t="str">
        <f t="shared" si="6"/>
        <v>M</v>
      </c>
      <c r="E241" s="29" t="str">
        <f t="shared" si="7"/>
        <v>45_49</v>
      </c>
      <c r="F241" s="29">
        <f>VLOOKUP(A241,POPN!$A$1:$B$39,2,FALSE)*(1+GROWTH!C241)</f>
        <v>17977.788922568201</v>
      </c>
    </row>
    <row r="242" spans="1:6" x14ac:dyDescent="0.25">
      <c r="A242" t="s">
        <v>30</v>
      </c>
      <c r="B242">
        <v>2028</v>
      </c>
      <c r="C242">
        <v>9.44779457471146E-2</v>
      </c>
      <c r="D242" s="29" t="str">
        <f t="shared" si="6"/>
        <v>M</v>
      </c>
      <c r="E242" s="29" t="str">
        <f t="shared" si="7"/>
        <v>45_49</v>
      </c>
      <c r="F242" s="29">
        <f>VLOOKUP(A242,POPN!$A$1:$B$39,2,FALSE)*(1+GROWTH!C242)</f>
        <v>18636.770460181866</v>
      </c>
    </row>
    <row r="243" spans="1:6" x14ac:dyDescent="0.25">
      <c r="A243" t="s">
        <v>30</v>
      </c>
      <c r="B243">
        <v>2029</v>
      </c>
      <c r="C243">
        <v>0.108441687440323</v>
      </c>
      <c r="D243" s="29" t="str">
        <f t="shared" si="6"/>
        <v>M</v>
      </c>
      <c r="E243" s="29" t="str">
        <f t="shared" si="7"/>
        <v>45_49</v>
      </c>
      <c r="F243" s="29">
        <f>VLOOKUP(A243,POPN!$A$1:$B$39,2,FALSE)*(1+GROWTH!C243)</f>
        <v>18874.545053733818</v>
      </c>
    </row>
    <row r="244" spans="1:6" x14ac:dyDescent="0.25">
      <c r="A244" t="s">
        <v>30</v>
      </c>
      <c r="B244">
        <v>2030</v>
      </c>
      <c r="C244">
        <v>0.12635295776272501</v>
      </c>
      <c r="D244" s="29" t="str">
        <f t="shared" si="6"/>
        <v>M</v>
      </c>
      <c r="E244" s="29" t="str">
        <f t="shared" si="7"/>
        <v>45_49</v>
      </c>
      <c r="F244" s="29">
        <f>VLOOKUP(A244,POPN!$A$1:$B$39,2,FALSE)*(1+GROWTH!C244)</f>
        <v>19179.53816478368</v>
      </c>
    </row>
    <row r="245" spans="1:6" x14ac:dyDescent="0.25">
      <c r="A245" t="s">
        <v>30</v>
      </c>
      <c r="B245">
        <v>2031</v>
      </c>
      <c r="C245">
        <v>0.14960877171621401</v>
      </c>
      <c r="D245" s="29" t="str">
        <f t="shared" si="6"/>
        <v>M</v>
      </c>
      <c r="E245" s="29" t="str">
        <f t="shared" si="7"/>
        <v>45_49</v>
      </c>
      <c r="F245" s="29">
        <f>VLOOKUP(A245,POPN!$A$1:$B$39,2,FALSE)*(1+GROWTH!C245)</f>
        <v>19575.538164783691</v>
      </c>
    </row>
    <row r="246" spans="1:6" x14ac:dyDescent="0.25">
      <c r="A246" t="s">
        <v>30</v>
      </c>
      <c r="B246">
        <v>2032</v>
      </c>
      <c r="C246">
        <v>0.166648509743859</v>
      </c>
      <c r="D246" s="29" t="str">
        <f t="shared" si="6"/>
        <v>M</v>
      </c>
      <c r="E246" s="29" t="str">
        <f t="shared" si="7"/>
        <v>45_49</v>
      </c>
      <c r="F246" s="29">
        <f>VLOOKUP(A246,POPN!$A$1:$B$39,2,FALSE)*(1+GROWTH!C246)</f>
        <v>19865.69082391843</v>
      </c>
    </row>
    <row r="247" spans="1:6" x14ac:dyDescent="0.25">
      <c r="A247" t="s">
        <v>30</v>
      </c>
      <c r="B247">
        <v>2033</v>
      </c>
      <c r="C247">
        <v>0.191942171268913</v>
      </c>
      <c r="D247" s="29" t="str">
        <f t="shared" si="6"/>
        <v>M</v>
      </c>
      <c r="E247" s="29" t="str">
        <f t="shared" si="7"/>
        <v>45_49</v>
      </c>
      <c r="F247" s="29">
        <f>VLOOKUP(A247,POPN!$A$1:$B$39,2,FALSE)*(1+GROWTH!C247)</f>
        <v>20296.391292367047</v>
      </c>
    </row>
    <row r="248" spans="1:6" x14ac:dyDescent="0.25">
      <c r="A248" t="s">
        <v>30</v>
      </c>
      <c r="B248">
        <v>2034</v>
      </c>
      <c r="C248">
        <v>0.225175748332233</v>
      </c>
      <c r="D248" s="29" t="str">
        <f t="shared" si="6"/>
        <v>M</v>
      </c>
      <c r="E248" s="29" t="str">
        <f t="shared" si="7"/>
        <v>45_49</v>
      </c>
      <c r="F248" s="29">
        <f>VLOOKUP(A248,POPN!$A$1:$B$39,2,FALSE)*(1+GROWTH!C248)</f>
        <v>20862.292642601264</v>
      </c>
    </row>
    <row r="249" spans="1:6" x14ac:dyDescent="0.25">
      <c r="A249" t="s">
        <v>30</v>
      </c>
      <c r="B249">
        <v>2035</v>
      </c>
      <c r="C249">
        <v>0.25084750107339399</v>
      </c>
      <c r="D249" s="29" t="str">
        <f t="shared" si="6"/>
        <v>M</v>
      </c>
      <c r="E249" s="29" t="str">
        <f t="shared" si="7"/>
        <v>45_49</v>
      </c>
      <c r="F249" s="29">
        <f>VLOOKUP(A249,POPN!$A$1:$B$39,2,FALSE)*(1+GROWTH!C249)</f>
        <v>21299.431248277753</v>
      </c>
    </row>
    <row r="250" spans="1:6" x14ac:dyDescent="0.25">
      <c r="A250" t="s">
        <v>30</v>
      </c>
      <c r="B250">
        <v>2036</v>
      </c>
      <c r="C250">
        <v>0.267182323274398</v>
      </c>
      <c r="D250" s="29" t="str">
        <f t="shared" si="6"/>
        <v>M</v>
      </c>
      <c r="E250" s="29" t="str">
        <f t="shared" si="7"/>
        <v>45_49</v>
      </c>
      <c r="F250" s="29">
        <f>VLOOKUP(A250,POPN!$A$1:$B$39,2,FALSE)*(1+GROWTH!C250)</f>
        <v>21577.580600716446</v>
      </c>
    </row>
    <row r="251" spans="1:6" x14ac:dyDescent="0.25">
      <c r="A251" t="s">
        <v>30</v>
      </c>
      <c r="B251">
        <v>2037</v>
      </c>
      <c r="C251">
        <v>0.285708792863688</v>
      </c>
      <c r="D251" s="29" t="str">
        <f t="shared" si="6"/>
        <v>M</v>
      </c>
      <c r="E251" s="29" t="str">
        <f t="shared" si="7"/>
        <v>45_49</v>
      </c>
      <c r="F251" s="29">
        <f>VLOOKUP(A251,POPN!$A$1:$B$39,2,FALSE)*(1+GROWTH!C251)</f>
        <v>21893.049324882883</v>
      </c>
    </row>
    <row r="252" spans="1:6" x14ac:dyDescent="0.25">
      <c r="A252" t="s">
        <v>30</v>
      </c>
      <c r="B252">
        <v>2038</v>
      </c>
      <c r="C252">
        <v>0.28849641454177199</v>
      </c>
      <c r="D252" s="29" t="str">
        <f t="shared" si="6"/>
        <v>M</v>
      </c>
      <c r="E252" s="29" t="str">
        <f t="shared" si="7"/>
        <v>45_49</v>
      </c>
      <c r="F252" s="29">
        <f>VLOOKUP(A252,POPN!$A$1:$B$39,2,FALSE)*(1+GROWTH!C252)</f>
        <v>21940.51694681729</v>
      </c>
    </row>
    <row r="253" spans="1:6" x14ac:dyDescent="0.25">
      <c r="A253" t="s">
        <v>30</v>
      </c>
      <c r="B253">
        <v>2039</v>
      </c>
      <c r="C253">
        <v>0.29650682166270398</v>
      </c>
      <c r="D253" s="29" t="str">
        <f t="shared" si="6"/>
        <v>M</v>
      </c>
      <c r="E253" s="29" t="str">
        <f t="shared" si="7"/>
        <v>45_49</v>
      </c>
      <c r="F253" s="29">
        <f>VLOOKUP(A253,POPN!$A$1:$B$39,2,FALSE)*(1+GROWTH!C253)</f>
        <v>22076.918159272525</v>
      </c>
    </row>
    <row r="254" spans="1:6" x14ac:dyDescent="0.25">
      <c r="A254" t="s">
        <v>30</v>
      </c>
      <c r="B254">
        <v>2040</v>
      </c>
      <c r="C254">
        <v>0.29283485103846901</v>
      </c>
      <c r="D254" s="29" t="str">
        <f t="shared" si="6"/>
        <v>M</v>
      </c>
      <c r="E254" s="29" t="str">
        <f t="shared" si="7"/>
        <v>45_49</v>
      </c>
      <c r="F254" s="29">
        <f>VLOOKUP(A254,POPN!$A$1:$B$39,2,FALSE)*(1+GROWTH!C254)</f>
        <v>22014.391843483052</v>
      </c>
    </row>
    <row r="255" spans="1:6" x14ac:dyDescent="0.25">
      <c r="A255" t="s">
        <v>30</v>
      </c>
      <c r="B255">
        <v>2041</v>
      </c>
      <c r="C255">
        <v>0.29255288470781199</v>
      </c>
      <c r="D255" s="29" t="str">
        <f t="shared" si="6"/>
        <v>M</v>
      </c>
      <c r="E255" s="29" t="str">
        <f t="shared" si="7"/>
        <v>45_49</v>
      </c>
      <c r="F255" s="29">
        <f>VLOOKUP(A255,POPN!$A$1:$B$39,2,FALSE)*(1+GROWTH!C255)</f>
        <v>22009.590520804624</v>
      </c>
    </row>
    <row r="256" spans="1:6" x14ac:dyDescent="0.25">
      <c r="A256" t="s">
        <v>30</v>
      </c>
      <c r="B256">
        <v>2042</v>
      </c>
      <c r="C256">
        <v>0.29830756118349</v>
      </c>
      <c r="D256" s="29" t="str">
        <f t="shared" si="6"/>
        <v>M</v>
      </c>
      <c r="E256" s="29" t="str">
        <f t="shared" si="7"/>
        <v>45_49</v>
      </c>
      <c r="F256" s="29">
        <f>VLOOKUP(A256,POPN!$A$1:$B$39,2,FALSE)*(1+GROWTH!C256)</f>
        <v>22107.581151832466</v>
      </c>
    </row>
    <row r="257" spans="1:6" x14ac:dyDescent="0.25">
      <c r="A257" t="s">
        <v>30</v>
      </c>
      <c r="B257">
        <v>2043</v>
      </c>
      <c r="C257">
        <v>0.30632437663011802</v>
      </c>
      <c r="D257" s="29" t="str">
        <f t="shared" si="6"/>
        <v>M</v>
      </c>
      <c r="E257" s="29" t="str">
        <f t="shared" si="7"/>
        <v>45_49</v>
      </c>
      <c r="F257" s="29">
        <f>VLOOKUP(A257,POPN!$A$1:$B$39,2,FALSE)*(1+GROWTH!C257)</f>
        <v>22244.09148525765</v>
      </c>
    </row>
    <row r="258" spans="1:6" x14ac:dyDescent="0.25">
      <c r="A258" t="s">
        <v>30</v>
      </c>
      <c r="B258">
        <v>2044</v>
      </c>
      <c r="C258">
        <v>0.30925938979922701</v>
      </c>
      <c r="D258" s="29" t="str">
        <f t="shared" si="6"/>
        <v>M</v>
      </c>
      <c r="E258" s="29" t="str">
        <f t="shared" si="7"/>
        <v>45_49</v>
      </c>
      <c r="F258" s="29">
        <f>VLOOKUP(A258,POPN!$A$1:$B$39,2,FALSE)*(1+GROWTH!C258)</f>
        <v>22294.068889501239</v>
      </c>
    </row>
    <row r="259" spans="1:6" x14ac:dyDescent="0.25">
      <c r="A259" t="s">
        <v>30</v>
      </c>
      <c r="B259">
        <v>2045</v>
      </c>
      <c r="C259">
        <v>0.31671868091023903</v>
      </c>
      <c r="D259" s="29" t="str">
        <f t="shared" ref="D259:D322" si="8">LEFT(A259,1)</f>
        <v>M</v>
      </c>
      <c r="E259" s="29" t="str">
        <f t="shared" ref="E259:E322" si="9">MID(A259,3,LEN(A259)-2)</f>
        <v>45_49</v>
      </c>
      <c r="F259" s="29">
        <f>VLOOKUP(A259,POPN!$A$1:$B$39,2,FALSE)*(1+GROWTH!C259)</f>
        <v>22421.085698539551</v>
      </c>
    </row>
    <row r="260" spans="1:6" x14ac:dyDescent="0.25">
      <c r="A260" t="s">
        <v>30</v>
      </c>
      <c r="B260">
        <v>2046</v>
      </c>
      <c r="C260">
        <v>0.31877575345889397</v>
      </c>
      <c r="D260" s="29" t="str">
        <f t="shared" si="8"/>
        <v>M</v>
      </c>
      <c r="E260" s="29" t="str">
        <f t="shared" si="9"/>
        <v>45_49</v>
      </c>
      <c r="F260" s="29">
        <f>VLOOKUP(A260,POPN!$A$1:$B$39,2,FALSE)*(1+GROWTH!C260)</f>
        <v>22456.113529898048</v>
      </c>
    </row>
    <row r="261" spans="1:6" x14ac:dyDescent="0.25">
      <c r="A261" t="s">
        <v>30</v>
      </c>
      <c r="B261">
        <v>2047</v>
      </c>
      <c r="C261">
        <v>0.31561004056470199</v>
      </c>
      <c r="D261" s="29" t="str">
        <f t="shared" si="8"/>
        <v>M</v>
      </c>
      <c r="E261" s="29" t="str">
        <f t="shared" si="9"/>
        <v>45_49</v>
      </c>
      <c r="F261" s="29">
        <f>VLOOKUP(A261,POPN!$A$1:$B$39,2,FALSE)*(1+GROWTH!C261)</f>
        <v>22402.207770735746</v>
      </c>
    </row>
    <row r="262" spans="1:6" x14ac:dyDescent="0.25">
      <c r="A262" t="s">
        <v>31</v>
      </c>
      <c r="B262">
        <v>2022</v>
      </c>
      <c r="C262">
        <v>7.8325686209717305E-2</v>
      </c>
      <c r="D262" s="29" t="str">
        <f t="shared" si="8"/>
        <v>M</v>
      </c>
      <c r="E262" s="29" t="str">
        <f t="shared" si="9"/>
        <v>50_54</v>
      </c>
      <c r="F262" s="29">
        <f>VLOOKUP(A262,POPN!$A$1:$B$39,2,FALSE)*(1+GROWTH!C262)</f>
        <v>19901.57886468654</v>
      </c>
    </row>
    <row r="263" spans="1:6" x14ac:dyDescent="0.25">
      <c r="A263" t="s">
        <v>31</v>
      </c>
      <c r="B263">
        <v>2023</v>
      </c>
      <c r="C263">
        <v>5.59097729698107E-2</v>
      </c>
      <c r="D263" s="29" t="str">
        <f t="shared" si="8"/>
        <v>M</v>
      </c>
      <c r="E263" s="29" t="str">
        <f t="shared" si="9"/>
        <v>50_54</v>
      </c>
      <c r="F263" s="29">
        <f>VLOOKUP(A263,POPN!$A$1:$B$39,2,FALSE)*(1+GROWTH!C263)</f>
        <v>19487.870769930825</v>
      </c>
    </row>
    <row r="264" spans="1:6" x14ac:dyDescent="0.25">
      <c r="A264" t="s">
        <v>31</v>
      </c>
      <c r="B264">
        <v>2024</v>
      </c>
      <c r="C264">
        <v>2.94527115237729E-2</v>
      </c>
      <c r="D264" s="29" t="str">
        <f t="shared" si="8"/>
        <v>M</v>
      </c>
      <c r="E264" s="29" t="str">
        <f t="shared" si="9"/>
        <v>50_54</v>
      </c>
      <c r="F264" s="29">
        <f>VLOOKUP(A264,POPN!$A$1:$B$39,2,FALSE)*(1+GROWTH!C264)</f>
        <v>18999.579243882752</v>
      </c>
    </row>
    <row r="265" spans="1:6" x14ac:dyDescent="0.25">
      <c r="A265" t="s">
        <v>31</v>
      </c>
      <c r="B265">
        <v>2025</v>
      </c>
      <c r="C265">
        <v>0</v>
      </c>
      <c r="D265" s="29" t="str">
        <f t="shared" si="8"/>
        <v>M</v>
      </c>
      <c r="E265" s="29" t="str">
        <f t="shared" si="9"/>
        <v>50_54</v>
      </c>
      <c r="F265" s="29">
        <f>VLOOKUP(A265,POPN!$A$1:$B$39,2,FALSE)*(1+GROWTH!C265)</f>
        <v>18456</v>
      </c>
    </row>
    <row r="266" spans="1:6" x14ac:dyDescent="0.25">
      <c r="A266" t="s">
        <v>31</v>
      </c>
      <c r="B266">
        <v>2026</v>
      </c>
      <c r="C266">
        <v>-4.50322587634953E-2</v>
      </c>
      <c r="D266" s="29" t="str">
        <f t="shared" si="8"/>
        <v>M</v>
      </c>
      <c r="E266" s="29" t="str">
        <f t="shared" si="9"/>
        <v>50_54</v>
      </c>
      <c r="F266" s="29">
        <f>VLOOKUP(A266,POPN!$A$1:$B$39,2,FALSE)*(1+GROWTH!C266)</f>
        <v>17624.884632260932</v>
      </c>
    </row>
    <row r="267" spans="1:6" x14ac:dyDescent="0.25">
      <c r="A267" t="s">
        <v>31</v>
      </c>
      <c r="B267">
        <v>2027</v>
      </c>
      <c r="C267">
        <v>-7.9750380550484404E-2</v>
      </c>
      <c r="D267" s="29" t="str">
        <f t="shared" si="8"/>
        <v>M</v>
      </c>
      <c r="E267" s="29" t="str">
        <f t="shared" si="9"/>
        <v>50_54</v>
      </c>
      <c r="F267" s="29">
        <f>VLOOKUP(A267,POPN!$A$1:$B$39,2,FALSE)*(1+GROWTH!C267)</f>
        <v>16984.126976560259</v>
      </c>
    </row>
    <row r="268" spans="1:6" x14ac:dyDescent="0.25">
      <c r="A268" t="s">
        <v>31</v>
      </c>
      <c r="B268">
        <v>2028</v>
      </c>
      <c r="C268">
        <v>-0.10485858689822899</v>
      </c>
      <c r="D268" s="29" t="str">
        <f t="shared" si="8"/>
        <v>M</v>
      </c>
      <c r="E268" s="29" t="str">
        <f t="shared" si="9"/>
        <v>50_54</v>
      </c>
      <c r="F268" s="29">
        <f>VLOOKUP(A268,POPN!$A$1:$B$39,2,FALSE)*(1+GROWTH!C268)</f>
        <v>16520.729920206286</v>
      </c>
    </row>
    <row r="269" spans="1:6" x14ac:dyDescent="0.25">
      <c r="A269" t="s">
        <v>31</v>
      </c>
      <c r="B269">
        <v>2029</v>
      </c>
      <c r="C269">
        <v>-0.107583382538556</v>
      </c>
      <c r="D269" s="29" t="str">
        <f t="shared" si="8"/>
        <v>M</v>
      </c>
      <c r="E269" s="29" t="str">
        <f t="shared" si="9"/>
        <v>50_54</v>
      </c>
      <c r="F269" s="29">
        <f>VLOOKUP(A269,POPN!$A$1:$B$39,2,FALSE)*(1+GROWTH!C269)</f>
        <v>16470.441091868408</v>
      </c>
    </row>
    <row r="270" spans="1:6" x14ac:dyDescent="0.25">
      <c r="A270" t="s">
        <v>31</v>
      </c>
      <c r="B270">
        <v>2030</v>
      </c>
      <c r="C270">
        <v>-9.3959404336921307E-2</v>
      </c>
      <c r="D270" s="29" t="str">
        <f t="shared" si="8"/>
        <v>M</v>
      </c>
      <c r="E270" s="29" t="str">
        <f t="shared" si="9"/>
        <v>50_54</v>
      </c>
      <c r="F270" s="29">
        <f>VLOOKUP(A270,POPN!$A$1:$B$39,2,FALSE)*(1+GROWTH!C270)</f>
        <v>16721.885233557779</v>
      </c>
    </row>
    <row r="271" spans="1:6" x14ac:dyDescent="0.25">
      <c r="A271" t="s">
        <v>31</v>
      </c>
      <c r="B271">
        <v>2031</v>
      </c>
      <c r="C271">
        <v>-7.3114446833982299E-2</v>
      </c>
      <c r="D271" s="29" t="str">
        <f t="shared" si="8"/>
        <v>M</v>
      </c>
      <c r="E271" s="29" t="str">
        <f t="shared" si="9"/>
        <v>50_54</v>
      </c>
      <c r="F271" s="29">
        <f>VLOOKUP(A271,POPN!$A$1:$B$39,2,FALSE)*(1+GROWTH!C271)</f>
        <v>17106.599769232023</v>
      </c>
    </row>
    <row r="272" spans="1:6" x14ac:dyDescent="0.25">
      <c r="A272" t="s">
        <v>31</v>
      </c>
      <c r="B272">
        <v>2032</v>
      </c>
      <c r="C272">
        <v>-4.4051765700077301E-2</v>
      </c>
      <c r="D272" s="29" t="str">
        <f t="shared" si="8"/>
        <v>M</v>
      </c>
      <c r="E272" s="29" t="str">
        <f t="shared" si="9"/>
        <v>50_54</v>
      </c>
      <c r="F272" s="29">
        <f>VLOOKUP(A272,POPN!$A$1:$B$39,2,FALSE)*(1+GROWTH!C272)</f>
        <v>17642.980612239375</v>
      </c>
    </row>
    <row r="273" spans="1:6" x14ac:dyDescent="0.25">
      <c r="A273" t="s">
        <v>31</v>
      </c>
      <c r="B273">
        <v>2033</v>
      </c>
      <c r="C273">
        <v>-1.14083889036353E-2</v>
      </c>
      <c r="D273" s="29" t="str">
        <f t="shared" si="8"/>
        <v>M</v>
      </c>
      <c r="E273" s="29" t="str">
        <f t="shared" si="9"/>
        <v>50_54</v>
      </c>
      <c r="F273" s="29">
        <f>VLOOKUP(A273,POPN!$A$1:$B$39,2,FALSE)*(1+GROWTH!C273)</f>
        <v>18245.446774394506</v>
      </c>
    </row>
    <row r="274" spans="1:6" x14ac:dyDescent="0.25">
      <c r="A274" t="s">
        <v>31</v>
      </c>
      <c r="B274">
        <v>2034</v>
      </c>
      <c r="C274">
        <v>5.0378925357949902E-4</v>
      </c>
      <c r="D274" s="29" t="str">
        <f t="shared" si="8"/>
        <v>M</v>
      </c>
      <c r="E274" s="29" t="str">
        <f t="shared" si="9"/>
        <v>50_54</v>
      </c>
      <c r="F274" s="29">
        <f>VLOOKUP(A274,POPN!$A$1:$B$39,2,FALSE)*(1+GROWTH!C274)</f>
        <v>18465.297934464063</v>
      </c>
    </row>
    <row r="275" spans="1:6" x14ac:dyDescent="0.25">
      <c r="A275" t="s">
        <v>31</v>
      </c>
      <c r="B275">
        <v>2035</v>
      </c>
      <c r="C275">
        <v>1.49945016549208E-2</v>
      </c>
      <c r="D275" s="29" t="str">
        <f t="shared" si="8"/>
        <v>M</v>
      </c>
      <c r="E275" s="29" t="str">
        <f t="shared" si="9"/>
        <v>50_54</v>
      </c>
      <c r="F275" s="29">
        <f>VLOOKUP(A275,POPN!$A$1:$B$39,2,FALSE)*(1+GROWTH!C275)</f>
        <v>18732.738522543219</v>
      </c>
    </row>
    <row r="276" spans="1:6" x14ac:dyDescent="0.25">
      <c r="A276" t="s">
        <v>31</v>
      </c>
      <c r="B276">
        <v>2036</v>
      </c>
      <c r="C276">
        <v>3.4160161645928402E-2</v>
      </c>
      <c r="D276" s="29" t="str">
        <f t="shared" si="8"/>
        <v>M</v>
      </c>
      <c r="E276" s="29" t="str">
        <f t="shared" si="9"/>
        <v>50_54</v>
      </c>
      <c r="F276" s="29">
        <f>VLOOKUP(A276,POPN!$A$1:$B$39,2,FALSE)*(1+GROWTH!C276)</f>
        <v>19086.459943337253</v>
      </c>
    </row>
    <row r="277" spans="1:6" x14ac:dyDescent="0.25">
      <c r="A277" t="s">
        <v>31</v>
      </c>
      <c r="B277">
        <v>2037</v>
      </c>
      <c r="C277">
        <v>4.95338595132205E-2</v>
      </c>
      <c r="D277" s="29" t="str">
        <f t="shared" si="8"/>
        <v>M</v>
      </c>
      <c r="E277" s="29" t="str">
        <f t="shared" si="9"/>
        <v>50_54</v>
      </c>
      <c r="F277" s="29">
        <f>VLOOKUP(A277,POPN!$A$1:$B$39,2,FALSE)*(1+GROWTH!C277)</f>
        <v>19370.196911175997</v>
      </c>
    </row>
    <row r="278" spans="1:6" x14ac:dyDescent="0.25">
      <c r="A278" t="s">
        <v>31</v>
      </c>
      <c r="B278">
        <v>2038</v>
      </c>
      <c r="C278">
        <v>7.1966024019371494E-2</v>
      </c>
      <c r="D278" s="29" t="str">
        <f t="shared" si="8"/>
        <v>M</v>
      </c>
      <c r="E278" s="29" t="str">
        <f t="shared" si="9"/>
        <v>50_54</v>
      </c>
      <c r="F278" s="29">
        <f>VLOOKUP(A278,POPN!$A$1:$B$39,2,FALSE)*(1+GROWTH!C278)</f>
        <v>19784.204939301522</v>
      </c>
    </row>
    <row r="279" spans="1:6" x14ac:dyDescent="0.25">
      <c r="A279" t="s">
        <v>31</v>
      </c>
      <c r="B279">
        <v>2039</v>
      </c>
      <c r="C279">
        <v>0.100492413367208</v>
      </c>
      <c r="D279" s="29" t="str">
        <f t="shared" si="8"/>
        <v>M</v>
      </c>
      <c r="E279" s="29" t="str">
        <f t="shared" si="9"/>
        <v>50_54</v>
      </c>
      <c r="F279" s="29">
        <f>VLOOKUP(A279,POPN!$A$1:$B$39,2,FALSE)*(1+GROWTH!C279)</f>
        <v>20310.687981105191</v>
      </c>
    </row>
    <row r="280" spans="1:6" x14ac:dyDescent="0.25">
      <c r="A280" t="s">
        <v>31</v>
      </c>
      <c r="B280">
        <v>2040</v>
      </c>
      <c r="C280">
        <v>0.122729562678425</v>
      </c>
      <c r="D280" s="29" t="str">
        <f t="shared" si="8"/>
        <v>M</v>
      </c>
      <c r="E280" s="29" t="str">
        <f t="shared" si="9"/>
        <v>50_54</v>
      </c>
      <c r="F280" s="29">
        <f>VLOOKUP(A280,POPN!$A$1:$B$39,2,FALSE)*(1+GROWTH!C280)</f>
        <v>20721.096808793012</v>
      </c>
    </row>
    <row r="281" spans="1:6" x14ac:dyDescent="0.25">
      <c r="A281" t="s">
        <v>31</v>
      </c>
      <c r="B281">
        <v>2041</v>
      </c>
      <c r="C281">
        <v>0.13812492890070999</v>
      </c>
      <c r="D281" s="29" t="str">
        <f t="shared" si="8"/>
        <v>M</v>
      </c>
      <c r="E281" s="29" t="str">
        <f t="shared" si="9"/>
        <v>50_54</v>
      </c>
      <c r="F281" s="29">
        <f>VLOOKUP(A281,POPN!$A$1:$B$39,2,FALSE)*(1+GROWTH!C281)</f>
        <v>21005.233687791504</v>
      </c>
    </row>
    <row r="282" spans="1:6" x14ac:dyDescent="0.25">
      <c r="A282" t="s">
        <v>31</v>
      </c>
      <c r="B282">
        <v>2042</v>
      </c>
      <c r="C282">
        <v>0.154603712872628</v>
      </c>
      <c r="D282" s="29" t="str">
        <f t="shared" si="8"/>
        <v>M</v>
      </c>
      <c r="E282" s="29" t="str">
        <f t="shared" si="9"/>
        <v>50_54</v>
      </c>
      <c r="F282" s="29">
        <f>VLOOKUP(A282,POPN!$A$1:$B$39,2,FALSE)*(1+GROWTH!C282)</f>
        <v>21309.366124777225</v>
      </c>
    </row>
    <row r="283" spans="1:6" x14ac:dyDescent="0.25">
      <c r="A283" t="s">
        <v>31</v>
      </c>
      <c r="B283">
        <v>2043</v>
      </c>
      <c r="C283">
        <v>0.15791355409775701</v>
      </c>
      <c r="D283" s="29" t="str">
        <f t="shared" si="8"/>
        <v>M</v>
      </c>
      <c r="E283" s="29" t="str">
        <f t="shared" si="9"/>
        <v>50_54</v>
      </c>
      <c r="F283" s="29">
        <f>VLOOKUP(A283,POPN!$A$1:$B$39,2,FALSE)*(1+GROWTH!C283)</f>
        <v>21370.452554428204</v>
      </c>
    </row>
    <row r="284" spans="1:6" x14ac:dyDescent="0.25">
      <c r="A284" t="s">
        <v>31</v>
      </c>
      <c r="B284">
        <v>2044</v>
      </c>
      <c r="C284">
        <v>0.16562207138639601</v>
      </c>
      <c r="D284" s="29" t="str">
        <f t="shared" si="8"/>
        <v>M</v>
      </c>
      <c r="E284" s="29" t="str">
        <f t="shared" si="9"/>
        <v>50_54</v>
      </c>
      <c r="F284" s="29">
        <f>VLOOKUP(A284,POPN!$A$1:$B$39,2,FALSE)*(1+GROWTH!C284)</f>
        <v>21512.720949507326</v>
      </c>
    </row>
    <row r="285" spans="1:6" x14ac:dyDescent="0.25">
      <c r="A285" t="s">
        <v>31</v>
      </c>
      <c r="B285">
        <v>2045</v>
      </c>
      <c r="C285">
        <v>0.163791095389516</v>
      </c>
      <c r="D285" s="29" t="str">
        <f t="shared" si="8"/>
        <v>M</v>
      </c>
      <c r="E285" s="29" t="str">
        <f t="shared" si="9"/>
        <v>50_54</v>
      </c>
      <c r="F285" s="29">
        <f>VLOOKUP(A285,POPN!$A$1:$B$39,2,FALSE)*(1+GROWTH!C285)</f>
        <v>21478.928456508907</v>
      </c>
    </row>
    <row r="286" spans="1:6" x14ac:dyDescent="0.25">
      <c r="A286" t="s">
        <v>31</v>
      </c>
      <c r="B286">
        <v>2046</v>
      </c>
      <c r="C286">
        <v>0.16423529666686501</v>
      </c>
      <c r="D286" s="29" t="str">
        <f t="shared" si="8"/>
        <v>M</v>
      </c>
      <c r="E286" s="29" t="str">
        <f t="shared" si="9"/>
        <v>50_54</v>
      </c>
      <c r="F286" s="29">
        <f>VLOOKUP(A286,POPN!$A$1:$B$39,2,FALSE)*(1+GROWTH!C286)</f>
        <v>21487.126635283661</v>
      </c>
    </row>
    <row r="287" spans="1:6" x14ac:dyDescent="0.25">
      <c r="A287" t="s">
        <v>31</v>
      </c>
      <c r="B287">
        <v>2047</v>
      </c>
      <c r="C287">
        <v>0.17002616453865399</v>
      </c>
      <c r="D287" s="29" t="str">
        <f t="shared" si="8"/>
        <v>M</v>
      </c>
      <c r="E287" s="29" t="str">
        <f t="shared" si="9"/>
        <v>50_54</v>
      </c>
      <c r="F287" s="29">
        <f>VLOOKUP(A287,POPN!$A$1:$B$39,2,FALSE)*(1+GROWTH!C287)</f>
        <v>21594.002892725399</v>
      </c>
    </row>
    <row r="288" spans="1:6" x14ac:dyDescent="0.25">
      <c r="A288" t="s">
        <v>32</v>
      </c>
      <c r="B288">
        <v>2022</v>
      </c>
      <c r="C288">
        <v>4.2243604787608503E-3</v>
      </c>
      <c r="D288" s="29" t="str">
        <f t="shared" si="8"/>
        <v>M</v>
      </c>
      <c r="E288" s="29" t="str">
        <f t="shared" si="9"/>
        <v>55_59</v>
      </c>
      <c r="F288" s="29">
        <f>VLOOKUP(A288,POPN!$A$1:$B$39,2,FALSE)*(1+GROWTH!C288)</f>
        <v>21646.056090119691</v>
      </c>
    </row>
    <row r="289" spans="1:6" x14ac:dyDescent="0.25">
      <c r="A289" t="s">
        <v>32</v>
      </c>
      <c r="B289">
        <v>2023</v>
      </c>
      <c r="C289">
        <v>1.39638582492373E-2</v>
      </c>
      <c r="D289" s="29" t="str">
        <f t="shared" si="8"/>
        <v>M</v>
      </c>
      <c r="E289" s="29" t="str">
        <f t="shared" si="9"/>
        <v>55_59</v>
      </c>
      <c r="F289" s="29">
        <f>VLOOKUP(A289,POPN!$A$1:$B$39,2,FALSE)*(1+GROWTH!C289)</f>
        <v>21855.990964562312</v>
      </c>
    </row>
    <row r="290" spans="1:6" x14ac:dyDescent="0.25">
      <c r="A290" t="s">
        <v>32</v>
      </c>
      <c r="B290">
        <v>2024</v>
      </c>
      <c r="C290">
        <v>1.1748415864820399E-2</v>
      </c>
      <c r="D290" s="29" t="str">
        <f t="shared" si="8"/>
        <v>M</v>
      </c>
      <c r="E290" s="29" t="str">
        <f t="shared" si="9"/>
        <v>55_59</v>
      </c>
      <c r="F290" s="29">
        <f>VLOOKUP(A290,POPN!$A$1:$B$39,2,FALSE)*(1+GROWTH!C290)</f>
        <v>21808.237103966203</v>
      </c>
    </row>
    <row r="291" spans="1:6" x14ac:dyDescent="0.25">
      <c r="A291" t="s">
        <v>32</v>
      </c>
      <c r="B291">
        <v>2025</v>
      </c>
      <c r="C291">
        <v>0</v>
      </c>
      <c r="D291" s="29" t="str">
        <f t="shared" si="8"/>
        <v>M</v>
      </c>
      <c r="E291" s="29" t="str">
        <f t="shared" si="9"/>
        <v>55_59</v>
      </c>
      <c r="F291" s="29">
        <f>VLOOKUP(A291,POPN!$A$1:$B$39,2,FALSE)*(1+GROWTH!C291)</f>
        <v>21555</v>
      </c>
    </row>
    <row r="292" spans="1:6" x14ac:dyDescent="0.25">
      <c r="A292" t="s">
        <v>32</v>
      </c>
      <c r="B292">
        <v>2026</v>
      </c>
      <c r="C292">
        <v>-3.76906829382771E-3</v>
      </c>
      <c r="D292" s="29" t="str">
        <f t="shared" si="8"/>
        <v>M</v>
      </c>
      <c r="E292" s="29" t="str">
        <f t="shared" si="9"/>
        <v>55_59</v>
      </c>
      <c r="F292" s="29">
        <f>VLOOKUP(A292,POPN!$A$1:$B$39,2,FALSE)*(1+GROWTH!C292)</f>
        <v>21473.757732926544</v>
      </c>
    </row>
    <row r="293" spans="1:6" x14ac:dyDescent="0.25">
      <c r="A293" t="s">
        <v>32</v>
      </c>
      <c r="B293">
        <v>2027</v>
      </c>
      <c r="C293">
        <v>-1.82773996714387E-2</v>
      </c>
      <c r="D293" s="29" t="str">
        <f t="shared" si="8"/>
        <v>M</v>
      </c>
      <c r="E293" s="29" t="str">
        <f t="shared" si="9"/>
        <v>55_59</v>
      </c>
      <c r="F293" s="29">
        <f>VLOOKUP(A293,POPN!$A$1:$B$39,2,FALSE)*(1+GROWTH!C293)</f>
        <v>21161.030650082139</v>
      </c>
    </row>
    <row r="294" spans="1:6" x14ac:dyDescent="0.25">
      <c r="A294" t="s">
        <v>32</v>
      </c>
      <c r="B294">
        <v>2028</v>
      </c>
      <c r="C294">
        <v>-3.8413517953532102E-2</v>
      </c>
      <c r="D294" s="29" t="str">
        <f t="shared" si="8"/>
        <v>M</v>
      </c>
      <c r="E294" s="29" t="str">
        <f t="shared" si="9"/>
        <v>55_59</v>
      </c>
      <c r="F294" s="29">
        <f>VLOOKUP(A294,POPN!$A$1:$B$39,2,FALSE)*(1+GROWTH!C294)</f>
        <v>20726.996620511614</v>
      </c>
    </row>
    <row r="295" spans="1:6" x14ac:dyDescent="0.25">
      <c r="A295" t="s">
        <v>32</v>
      </c>
      <c r="B295">
        <v>2029</v>
      </c>
      <c r="C295">
        <v>-6.2421966674489598E-2</v>
      </c>
      <c r="D295" s="29" t="str">
        <f t="shared" si="8"/>
        <v>M</v>
      </c>
      <c r="E295" s="29" t="str">
        <f t="shared" si="9"/>
        <v>55_59</v>
      </c>
      <c r="F295" s="29">
        <f>VLOOKUP(A295,POPN!$A$1:$B$39,2,FALSE)*(1+GROWTH!C295)</f>
        <v>20209.494508331376</v>
      </c>
    </row>
    <row r="296" spans="1:6" x14ac:dyDescent="0.25">
      <c r="A296" t="s">
        <v>32</v>
      </c>
      <c r="B296">
        <v>2030</v>
      </c>
      <c r="C296">
        <v>-8.7378549636235606E-2</v>
      </c>
      <c r="D296" s="29" t="str">
        <f t="shared" si="8"/>
        <v>M</v>
      </c>
      <c r="E296" s="29" t="str">
        <f t="shared" si="9"/>
        <v>55_59</v>
      </c>
      <c r="F296" s="29">
        <f>VLOOKUP(A296,POPN!$A$1:$B$39,2,FALSE)*(1+GROWTH!C296)</f>
        <v>19671.555362590942</v>
      </c>
    </row>
    <row r="297" spans="1:6" x14ac:dyDescent="0.25">
      <c r="A297" t="s">
        <v>32</v>
      </c>
      <c r="B297">
        <v>2031</v>
      </c>
      <c r="C297">
        <v>-0.12530391926777701</v>
      </c>
      <c r="D297" s="29" t="str">
        <f t="shared" si="8"/>
        <v>M</v>
      </c>
      <c r="E297" s="29" t="str">
        <f t="shared" si="9"/>
        <v>55_59</v>
      </c>
      <c r="F297" s="29">
        <f>VLOOKUP(A297,POPN!$A$1:$B$39,2,FALSE)*(1+GROWTH!C297)</f>
        <v>18854.074020183067</v>
      </c>
    </row>
    <row r="298" spans="1:6" x14ac:dyDescent="0.25">
      <c r="A298" t="s">
        <v>32</v>
      </c>
      <c r="B298">
        <v>2032</v>
      </c>
      <c r="C298">
        <v>-0.15477587420793201</v>
      </c>
      <c r="D298" s="29" t="str">
        <f t="shared" si="8"/>
        <v>M</v>
      </c>
      <c r="E298" s="29" t="str">
        <f t="shared" si="9"/>
        <v>55_59</v>
      </c>
      <c r="F298" s="29">
        <f>VLOOKUP(A298,POPN!$A$1:$B$39,2,FALSE)*(1+GROWTH!C298)</f>
        <v>18218.806031448024</v>
      </c>
    </row>
    <row r="299" spans="1:6" x14ac:dyDescent="0.25">
      <c r="A299" t="s">
        <v>32</v>
      </c>
      <c r="B299">
        <v>2033</v>
      </c>
      <c r="C299">
        <v>-0.17579910819056599</v>
      </c>
      <c r="D299" s="29" t="str">
        <f t="shared" si="8"/>
        <v>M</v>
      </c>
      <c r="E299" s="29" t="str">
        <f t="shared" si="9"/>
        <v>55_59</v>
      </c>
      <c r="F299" s="29">
        <f>VLOOKUP(A299,POPN!$A$1:$B$39,2,FALSE)*(1+GROWTH!C299)</f>
        <v>17765.65022295235</v>
      </c>
    </row>
    <row r="300" spans="1:6" x14ac:dyDescent="0.25">
      <c r="A300" t="s">
        <v>32</v>
      </c>
      <c r="B300">
        <v>2034</v>
      </c>
      <c r="C300">
        <v>-0.176611124149261</v>
      </c>
      <c r="D300" s="29" t="str">
        <f t="shared" si="8"/>
        <v>M</v>
      </c>
      <c r="E300" s="29" t="str">
        <f t="shared" si="9"/>
        <v>55_59</v>
      </c>
      <c r="F300" s="29">
        <f>VLOOKUP(A300,POPN!$A$1:$B$39,2,FALSE)*(1+GROWTH!C300)</f>
        <v>17748.14721896268</v>
      </c>
    </row>
    <row r="301" spans="1:6" x14ac:dyDescent="0.25">
      <c r="A301" t="s">
        <v>32</v>
      </c>
      <c r="B301">
        <v>2035</v>
      </c>
      <c r="C301">
        <v>-0.16330438864116401</v>
      </c>
      <c r="D301" s="29" t="str">
        <f t="shared" si="8"/>
        <v>M</v>
      </c>
      <c r="E301" s="29" t="str">
        <f t="shared" si="9"/>
        <v>55_59</v>
      </c>
      <c r="F301" s="29">
        <f>VLOOKUP(A301,POPN!$A$1:$B$39,2,FALSE)*(1+GROWTH!C301)</f>
        <v>18034.973902839709</v>
      </c>
    </row>
    <row r="302" spans="1:6" x14ac:dyDescent="0.25">
      <c r="A302" t="s">
        <v>32</v>
      </c>
      <c r="B302">
        <v>2036</v>
      </c>
      <c r="C302">
        <v>-0.144003754987092</v>
      </c>
      <c r="D302" s="29" t="str">
        <f t="shared" si="8"/>
        <v>M</v>
      </c>
      <c r="E302" s="29" t="str">
        <f t="shared" si="9"/>
        <v>55_59</v>
      </c>
      <c r="F302" s="29">
        <f>VLOOKUP(A302,POPN!$A$1:$B$39,2,FALSE)*(1+GROWTH!C302)</f>
        <v>18450.999061253231</v>
      </c>
    </row>
    <row r="303" spans="1:6" x14ac:dyDescent="0.25">
      <c r="A303" t="s">
        <v>32</v>
      </c>
      <c r="B303">
        <v>2037</v>
      </c>
      <c r="C303">
        <v>-0.118310255808496</v>
      </c>
      <c r="D303" s="29" t="str">
        <f t="shared" si="8"/>
        <v>M</v>
      </c>
      <c r="E303" s="29" t="str">
        <f t="shared" si="9"/>
        <v>55_59</v>
      </c>
      <c r="F303" s="29">
        <f>VLOOKUP(A303,POPN!$A$1:$B$39,2,FALSE)*(1+GROWTH!C303)</f>
        <v>19004.822436047871</v>
      </c>
    </row>
    <row r="304" spans="1:6" x14ac:dyDescent="0.25">
      <c r="A304" t="s">
        <v>32</v>
      </c>
      <c r="B304">
        <v>2038</v>
      </c>
      <c r="C304">
        <v>-9.0190096221544197E-2</v>
      </c>
      <c r="D304" s="29" t="str">
        <f t="shared" si="8"/>
        <v>M</v>
      </c>
      <c r="E304" s="29" t="str">
        <f t="shared" si="9"/>
        <v>55_59</v>
      </c>
      <c r="F304" s="29">
        <f>VLOOKUP(A304,POPN!$A$1:$B$39,2,FALSE)*(1+GROWTH!C304)</f>
        <v>19610.952475944614</v>
      </c>
    </row>
    <row r="305" spans="1:6" x14ac:dyDescent="0.25">
      <c r="A305" t="s">
        <v>32</v>
      </c>
      <c r="B305">
        <v>2039</v>
      </c>
      <c r="C305">
        <v>-7.9770007040600804E-2</v>
      </c>
      <c r="D305" s="29" t="str">
        <f t="shared" si="8"/>
        <v>M</v>
      </c>
      <c r="E305" s="29" t="str">
        <f t="shared" si="9"/>
        <v>55_59</v>
      </c>
      <c r="F305" s="29">
        <f>VLOOKUP(A305,POPN!$A$1:$B$39,2,FALSE)*(1+GROWTH!C305)</f>
        <v>19835.55749823985</v>
      </c>
    </row>
    <row r="306" spans="1:6" x14ac:dyDescent="0.25">
      <c r="A306" t="s">
        <v>32</v>
      </c>
      <c r="B306">
        <v>2040</v>
      </c>
      <c r="C306">
        <v>-6.7528749119924902E-2</v>
      </c>
      <c r="D306" s="29" t="str">
        <f t="shared" si="8"/>
        <v>M</v>
      </c>
      <c r="E306" s="29" t="str">
        <f t="shared" si="9"/>
        <v>55_59</v>
      </c>
      <c r="F306" s="29">
        <f>VLOOKUP(A306,POPN!$A$1:$B$39,2,FALSE)*(1+GROWTH!C306)</f>
        <v>20099.417812720018</v>
      </c>
    </row>
    <row r="307" spans="1:6" x14ac:dyDescent="0.25">
      <c r="A307" t="s">
        <v>32</v>
      </c>
      <c r="B307">
        <v>2041</v>
      </c>
      <c r="C307">
        <v>-5.1138230462332797E-2</v>
      </c>
      <c r="D307" s="29" t="str">
        <f t="shared" si="8"/>
        <v>M</v>
      </c>
      <c r="E307" s="29" t="str">
        <f t="shared" si="9"/>
        <v>55_59</v>
      </c>
      <c r="F307" s="29">
        <f>VLOOKUP(A307,POPN!$A$1:$B$39,2,FALSE)*(1+GROWTH!C307)</f>
        <v>20452.715442384415</v>
      </c>
    </row>
    <row r="308" spans="1:6" x14ac:dyDescent="0.25">
      <c r="A308" t="s">
        <v>32</v>
      </c>
      <c r="B308">
        <v>2042</v>
      </c>
      <c r="C308">
        <v>-3.7028866463271602E-2</v>
      </c>
      <c r="D308" s="29" t="str">
        <f t="shared" si="8"/>
        <v>M</v>
      </c>
      <c r="E308" s="29" t="str">
        <f t="shared" si="9"/>
        <v>55_59</v>
      </c>
      <c r="F308" s="29">
        <f>VLOOKUP(A308,POPN!$A$1:$B$39,2,FALSE)*(1+GROWTH!C308)</f>
        <v>20756.842783384182</v>
      </c>
    </row>
    <row r="309" spans="1:6" x14ac:dyDescent="0.25">
      <c r="A309" t="s">
        <v>32</v>
      </c>
      <c r="B309">
        <v>2043</v>
      </c>
      <c r="C309">
        <v>-1.66298990847219E-2</v>
      </c>
      <c r="D309" s="29" t="str">
        <f t="shared" si="8"/>
        <v>M</v>
      </c>
      <c r="E309" s="29" t="str">
        <f t="shared" si="9"/>
        <v>55_59</v>
      </c>
      <c r="F309" s="29">
        <f>VLOOKUP(A309,POPN!$A$1:$B$39,2,FALSE)*(1+GROWTH!C309)</f>
        <v>21196.542525228819</v>
      </c>
    </row>
    <row r="310" spans="1:6" x14ac:dyDescent="0.25">
      <c r="A310" t="s">
        <v>32</v>
      </c>
      <c r="B310">
        <v>2044</v>
      </c>
      <c r="C310">
        <v>8.6036141750762407E-3</v>
      </c>
      <c r="D310" s="29" t="str">
        <f t="shared" si="8"/>
        <v>M</v>
      </c>
      <c r="E310" s="29" t="str">
        <f t="shared" si="9"/>
        <v>55_59</v>
      </c>
      <c r="F310" s="29">
        <f>VLOOKUP(A310,POPN!$A$1:$B$39,2,FALSE)*(1+GROWTH!C310)</f>
        <v>21740.45090354377</v>
      </c>
    </row>
    <row r="311" spans="1:6" x14ac:dyDescent="0.25">
      <c r="A311" t="s">
        <v>32</v>
      </c>
      <c r="B311">
        <v>2045</v>
      </c>
      <c r="C311">
        <v>2.8439333489791201E-2</v>
      </c>
      <c r="D311" s="29" t="str">
        <f t="shared" si="8"/>
        <v>M</v>
      </c>
      <c r="E311" s="29" t="str">
        <f t="shared" si="9"/>
        <v>55_59</v>
      </c>
      <c r="F311" s="29">
        <f>VLOOKUP(A311,POPN!$A$1:$B$39,2,FALSE)*(1+GROWTH!C311)</f>
        <v>22168.009833372449</v>
      </c>
    </row>
    <row r="312" spans="1:6" x14ac:dyDescent="0.25">
      <c r="A312" t="s">
        <v>32</v>
      </c>
      <c r="B312">
        <v>2046</v>
      </c>
      <c r="C312">
        <v>4.3144801689744203E-2</v>
      </c>
      <c r="D312" s="29" t="str">
        <f t="shared" si="8"/>
        <v>M</v>
      </c>
      <c r="E312" s="29" t="str">
        <f t="shared" si="9"/>
        <v>55_59</v>
      </c>
      <c r="F312" s="29">
        <f>VLOOKUP(A312,POPN!$A$1:$B$39,2,FALSE)*(1+GROWTH!C312)</f>
        <v>22484.986200422438</v>
      </c>
    </row>
    <row r="313" spans="1:6" x14ac:dyDescent="0.25">
      <c r="A313" t="s">
        <v>32</v>
      </c>
      <c r="B313">
        <v>2047</v>
      </c>
      <c r="C313">
        <v>5.8314949542361001E-2</v>
      </c>
      <c r="D313" s="29" t="str">
        <f t="shared" si="8"/>
        <v>M</v>
      </c>
      <c r="E313" s="29" t="str">
        <f t="shared" si="9"/>
        <v>55_59</v>
      </c>
      <c r="F313" s="29">
        <f>VLOOKUP(A313,POPN!$A$1:$B$39,2,FALSE)*(1+GROWTH!C313)</f>
        <v>22811.978737385591</v>
      </c>
    </row>
    <row r="314" spans="1:6" x14ac:dyDescent="0.25">
      <c r="A314" t="s">
        <v>33</v>
      </c>
      <c r="B314">
        <v>2022</v>
      </c>
      <c r="C314">
        <v>-9.2672493611347703E-2</v>
      </c>
      <c r="D314" s="29" t="str">
        <f t="shared" si="8"/>
        <v>M</v>
      </c>
      <c r="E314" s="29" t="str">
        <f t="shared" si="9"/>
        <v>60_64</v>
      </c>
      <c r="F314" s="29">
        <f>VLOOKUP(A314,POPN!$A$1:$B$39,2,FALSE)*(1+GROWTH!C314)</f>
        <v>20090.952973963929</v>
      </c>
    </row>
    <row r="315" spans="1:6" x14ac:dyDescent="0.25">
      <c r="A315" t="s">
        <v>33</v>
      </c>
      <c r="B315">
        <v>2023</v>
      </c>
      <c r="C315">
        <v>-6.2196770489981901E-2</v>
      </c>
      <c r="D315" s="29" t="str">
        <f t="shared" si="8"/>
        <v>M</v>
      </c>
      <c r="E315" s="29" t="str">
        <f t="shared" si="9"/>
        <v>60_64</v>
      </c>
      <c r="F315" s="29">
        <f>VLOOKUP(A315,POPN!$A$1:$B$39,2,FALSE)*(1+GROWTH!C315)</f>
        <v>20765.776911040328</v>
      </c>
    </row>
    <row r="316" spans="1:6" x14ac:dyDescent="0.25">
      <c r="A316" t="s">
        <v>33</v>
      </c>
      <c r="B316">
        <v>2024</v>
      </c>
      <c r="C316">
        <v>-2.9091515129069202E-2</v>
      </c>
      <c r="D316" s="29" t="str">
        <f t="shared" si="8"/>
        <v>M</v>
      </c>
      <c r="E316" s="29" t="str">
        <f t="shared" si="9"/>
        <v>60_64</v>
      </c>
      <c r="F316" s="29">
        <f>VLOOKUP(A316,POPN!$A$1:$B$39,2,FALSE)*(1+GROWTH!C316)</f>
        <v>21498.826580497021</v>
      </c>
    </row>
    <row r="317" spans="1:6" x14ac:dyDescent="0.25">
      <c r="A317" t="s">
        <v>33</v>
      </c>
      <c r="B317">
        <v>2025</v>
      </c>
      <c r="C317">
        <v>0</v>
      </c>
      <c r="D317" s="29" t="str">
        <f t="shared" si="8"/>
        <v>M</v>
      </c>
      <c r="E317" s="29" t="str">
        <f t="shared" si="9"/>
        <v>60_64</v>
      </c>
      <c r="F317" s="29">
        <f>VLOOKUP(A317,POPN!$A$1:$B$39,2,FALSE)*(1+GROWTH!C317)</f>
        <v>22143</v>
      </c>
    </row>
    <row r="318" spans="1:6" x14ac:dyDescent="0.25">
      <c r="A318" t="s">
        <v>33</v>
      </c>
      <c r="B318">
        <v>2026</v>
      </c>
      <c r="C318">
        <v>1.8453020258508999E-2</v>
      </c>
      <c r="D318" s="29" t="str">
        <f t="shared" si="8"/>
        <v>M</v>
      </c>
      <c r="E318" s="29" t="str">
        <f t="shared" si="9"/>
        <v>60_64</v>
      </c>
      <c r="F318" s="29">
        <f>VLOOKUP(A318,POPN!$A$1:$B$39,2,FALSE)*(1+GROWTH!C318)</f>
        <v>22551.605227584165</v>
      </c>
    </row>
    <row r="319" spans="1:6" x14ac:dyDescent="0.25">
      <c r="A319" t="s">
        <v>33</v>
      </c>
      <c r="B319">
        <v>2027</v>
      </c>
      <c r="C319">
        <v>3.1984926484204403E-2</v>
      </c>
      <c r="D319" s="29" t="str">
        <f t="shared" si="8"/>
        <v>M</v>
      </c>
      <c r="E319" s="29" t="str">
        <f t="shared" si="9"/>
        <v>60_64</v>
      </c>
      <c r="F319" s="29">
        <f>VLOOKUP(A319,POPN!$A$1:$B$39,2,FALSE)*(1+GROWTH!C319)</f>
        <v>22851.242227139741</v>
      </c>
    </row>
    <row r="320" spans="1:6" x14ac:dyDescent="0.25">
      <c r="A320" t="s">
        <v>33</v>
      </c>
      <c r="B320">
        <v>2028</v>
      </c>
      <c r="C320">
        <v>3.9739268915966103E-2</v>
      </c>
      <c r="D320" s="29" t="str">
        <f t="shared" si="8"/>
        <v>M</v>
      </c>
      <c r="E320" s="29" t="str">
        <f t="shared" si="9"/>
        <v>60_64</v>
      </c>
      <c r="F320" s="29">
        <f>VLOOKUP(A320,POPN!$A$1:$B$39,2,FALSE)*(1+GROWTH!C320)</f>
        <v>23022.946631606239</v>
      </c>
    </row>
    <row r="321" spans="1:6" x14ac:dyDescent="0.25">
      <c r="A321" t="s">
        <v>33</v>
      </c>
      <c r="B321">
        <v>2029</v>
      </c>
      <c r="C321">
        <v>3.6924558349690897E-2</v>
      </c>
      <c r="D321" s="29" t="str">
        <f t="shared" si="8"/>
        <v>M</v>
      </c>
      <c r="E321" s="29" t="str">
        <f t="shared" si="9"/>
        <v>60_64</v>
      </c>
      <c r="F321" s="29">
        <f>VLOOKUP(A321,POPN!$A$1:$B$39,2,FALSE)*(1+GROWTH!C321)</f>
        <v>22960.620495537205</v>
      </c>
    </row>
    <row r="322" spans="1:6" x14ac:dyDescent="0.25">
      <c r="A322" t="s">
        <v>33</v>
      </c>
      <c r="B322">
        <v>2030</v>
      </c>
      <c r="C322">
        <v>2.5471278841524399E-2</v>
      </c>
      <c r="D322" s="29" t="str">
        <f t="shared" si="8"/>
        <v>M</v>
      </c>
      <c r="E322" s="29" t="str">
        <f t="shared" si="9"/>
        <v>60_64</v>
      </c>
      <c r="F322" s="29">
        <f>VLOOKUP(A322,POPN!$A$1:$B$39,2,FALSE)*(1+GROWTH!C322)</f>
        <v>22707.010527387873</v>
      </c>
    </row>
    <row r="323" spans="1:6" x14ac:dyDescent="0.25">
      <c r="A323" t="s">
        <v>33</v>
      </c>
      <c r="B323">
        <v>2031</v>
      </c>
      <c r="C323">
        <v>2.2124180585904301E-2</v>
      </c>
      <c r="D323" s="29" t="str">
        <f t="shared" ref="D323:D386" si="10">LEFT(A323,1)</f>
        <v>M</v>
      </c>
      <c r="E323" s="29" t="str">
        <f t="shared" ref="E323:E386" si="11">MID(A323,3,LEN(A323)-2)</f>
        <v>60_64</v>
      </c>
      <c r="F323" s="29">
        <f>VLOOKUP(A323,POPN!$A$1:$B$39,2,FALSE)*(1+GROWTH!C323)</f>
        <v>22632.895730713677</v>
      </c>
    </row>
    <row r="324" spans="1:6" x14ac:dyDescent="0.25">
      <c r="A324" t="s">
        <v>33</v>
      </c>
      <c r="B324">
        <v>2032</v>
      </c>
      <c r="C324">
        <v>8.7033813562460705E-3</v>
      </c>
      <c r="D324" s="29" t="str">
        <f t="shared" si="10"/>
        <v>M</v>
      </c>
      <c r="E324" s="29" t="str">
        <f t="shared" si="11"/>
        <v>60_64</v>
      </c>
      <c r="F324" s="29">
        <f>VLOOKUP(A324,POPN!$A$1:$B$39,2,FALSE)*(1+GROWTH!C324)</f>
        <v>22335.718973371357</v>
      </c>
    </row>
    <row r="325" spans="1:6" x14ac:dyDescent="0.25">
      <c r="A325" t="s">
        <v>33</v>
      </c>
      <c r="B325">
        <v>2033</v>
      </c>
      <c r="C325">
        <v>-1.01014777230473E-2</v>
      </c>
      <c r="D325" s="29" t="str">
        <f t="shared" si="10"/>
        <v>M</v>
      </c>
      <c r="E325" s="29" t="str">
        <f t="shared" si="11"/>
        <v>60_64</v>
      </c>
      <c r="F325" s="29">
        <f>VLOOKUP(A325,POPN!$A$1:$B$39,2,FALSE)*(1+GROWTH!C325)</f>
        <v>21919.322978778564</v>
      </c>
    </row>
    <row r="326" spans="1:6" x14ac:dyDescent="0.25">
      <c r="A326" t="s">
        <v>33</v>
      </c>
      <c r="B326">
        <v>2034</v>
      </c>
      <c r="C326">
        <v>-3.3420058516351103E-2</v>
      </c>
      <c r="D326" s="29" t="str">
        <f t="shared" si="10"/>
        <v>M</v>
      </c>
      <c r="E326" s="29" t="str">
        <f t="shared" si="11"/>
        <v>60_64</v>
      </c>
      <c r="F326" s="29">
        <f>VLOOKUP(A326,POPN!$A$1:$B$39,2,FALSE)*(1+GROWTH!C326)</f>
        <v>21402.979644272436</v>
      </c>
    </row>
    <row r="327" spans="1:6" x14ac:dyDescent="0.25">
      <c r="A327" t="s">
        <v>33</v>
      </c>
      <c r="B327">
        <v>2035</v>
      </c>
      <c r="C327">
        <v>-5.73821339950372E-2</v>
      </c>
      <c r="D327" s="29" t="str">
        <f t="shared" si="10"/>
        <v>M</v>
      </c>
      <c r="E327" s="29" t="str">
        <f t="shared" si="11"/>
        <v>60_64</v>
      </c>
      <c r="F327" s="29">
        <f>VLOOKUP(A327,POPN!$A$1:$B$39,2,FALSE)*(1+GROWTH!C327)</f>
        <v>20872.387406947892</v>
      </c>
    </row>
    <row r="328" spans="1:6" x14ac:dyDescent="0.25">
      <c r="A328" t="s">
        <v>33</v>
      </c>
      <c r="B328">
        <v>2036</v>
      </c>
      <c r="C328">
        <v>-9.36863449501871E-2</v>
      </c>
      <c r="D328" s="29" t="str">
        <f t="shared" si="10"/>
        <v>M</v>
      </c>
      <c r="E328" s="29" t="str">
        <f t="shared" si="11"/>
        <v>60_64</v>
      </c>
      <c r="F328" s="29">
        <f>VLOOKUP(A328,POPN!$A$1:$B$39,2,FALSE)*(1+GROWTH!C328)</f>
        <v>20068.503263768005</v>
      </c>
    </row>
    <row r="329" spans="1:6" x14ac:dyDescent="0.25">
      <c r="A329" t="s">
        <v>33</v>
      </c>
      <c r="B329">
        <v>2037</v>
      </c>
      <c r="C329">
        <v>-0.12212510647753801</v>
      </c>
      <c r="D329" s="29" t="str">
        <f t="shared" si="10"/>
        <v>M</v>
      </c>
      <c r="E329" s="29" t="str">
        <f t="shared" si="11"/>
        <v>60_64</v>
      </c>
      <c r="F329" s="29">
        <f>VLOOKUP(A329,POPN!$A$1:$B$39,2,FALSE)*(1+GROWTH!C329)</f>
        <v>19438.783767267876</v>
      </c>
    </row>
    <row r="330" spans="1:6" x14ac:dyDescent="0.25">
      <c r="A330" t="s">
        <v>33</v>
      </c>
      <c r="B330">
        <v>2038</v>
      </c>
      <c r="C330">
        <v>-0.141953075812007</v>
      </c>
      <c r="D330" s="29" t="str">
        <f t="shared" si="10"/>
        <v>M</v>
      </c>
      <c r="E330" s="29" t="str">
        <f t="shared" si="11"/>
        <v>60_64</v>
      </c>
      <c r="F330" s="29">
        <f>VLOOKUP(A330,POPN!$A$1:$B$39,2,FALSE)*(1+GROWTH!C330)</f>
        <v>18999.733042294731</v>
      </c>
    </row>
    <row r="331" spans="1:6" x14ac:dyDescent="0.25">
      <c r="A331" t="s">
        <v>33</v>
      </c>
      <c r="B331">
        <v>2039</v>
      </c>
      <c r="C331">
        <v>-0.141240139254102</v>
      </c>
      <c r="D331" s="29" t="str">
        <f t="shared" si="10"/>
        <v>M</v>
      </c>
      <c r="E331" s="29" t="str">
        <f t="shared" si="11"/>
        <v>60_64</v>
      </c>
      <c r="F331" s="29">
        <f>VLOOKUP(A331,POPN!$A$1:$B$39,2,FALSE)*(1+GROWTH!C331)</f>
        <v>19015.519596496419</v>
      </c>
    </row>
    <row r="332" spans="1:6" x14ac:dyDescent="0.25">
      <c r="A332" t="s">
        <v>33</v>
      </c>
      <c r="B332">
        <v>2040</v>
      </c>
      <c r="C332">
        <v>-0.12669438168956701</v>
      </c>
      <c r="D332" s="29" t="str">
        <f t="shared" si="10"/>
        <v>M</v>
      </c>
      <c r="E332" s="29" t="str">
        <f t="shared" si="11"/>
        <v>60_64</v>
      </c>
      <c r="F332" s="29">
        <f>VLOOKUP(A332,POPN!$A$1:$B$39,2,FALSE)*(1+GROWTH!C332)</f>
        <v>19337.606306247919</v>
      </c>
    </row>
    <row r="333" spans="1:6" x14ac:dyDescent="0.25">
      <c r="A333" t="s">
        <v>33</v>
      </c>
      <c r="B333">
        <v>2041</v>
      </c>
      <c r="C333">
        <v>-0.106570127032332</v>
      </c>
      <c r="D333" s="29" t="str">
        <f t="shared" si="10"/>
        <v>M</v>
      </c>
      <c r="E333" s="29" t="str">
        <f t="shared" si="11"/>
        <v>60_64</v>
      </c>
      <c r="F333" s="29">
        <f>VLOOKUP(A333,POPN!$A$1:$B$39,2,FALSE)*(1+GROWTH!C333)</f>
        <v>19783.217677123073</v>
      </c>
    </row>
    <row r="334" spans="1:6" x14ac:dyDescent="0.25">
      <c r="A334" t="s">
        <v>33</v>
      </c>
      <c r="B334">
        <v>2042</v>
      </c>
      <c r="C334">
        <v>-8.0742379911855094E-2</v>
      </c>
      <c r="D334" s="29" t="str">
        <f t="shared" si="10"/>
        <v>M</v>
      </c>
      <c r="E334" s="29" t="str">
        <f t="shared" si="11"/>
        <v>60_64</v>
      </c>
      <c r="F334" s="29">
        <f>VLOOKUP(A334,POPN!$A$1:$B$39,2,FALSE)*(1+GROWTH!C334)</f>
        <v>20355.121481611794</v>
      </c>
    </row>
    <row r="335" spans="1:6" x14ac:dyDescent="0.25">
      <c r="A335" t="s">
        <v>33</v>
      </c>
      <c r="B335">
        <v>2043</v>
      </c>
      <c r="C335">
        <v>-5.3169327061960703E-2</v>
      </c>
      <c r="D335" s="29" t="str">
        <f t="shared" si="10"/>
        <v>M</v>
      </c>
      <c r="E335" s="29" t="str">
        <f t="shared" si="11"/>
        <v>60_64</v>
      </c>
      <c r="F335" s="29">
        <f>VLOOKUP(A335,POPN!$A$1:$B$39,2,FALSE)*(1+GROWTH!C335)</f>
        <v>20965.671590867005</v>
      </c>
    </row>
    <row r="336" spans="1:6" x14ac:dyDescent="0.25">
      <c r="A336" t="s">
        <v>33</v>
      </c>
      <c r="B336">
        <v>2044</v>
      </c>
      <c r="C336">
        <v>-4.2813229139661499E-2</v>
      </c>
      <c r="D336" s="29" t="str">
        <f t="shared" si="10"/>
        <v>M</v>
      </c>
      <c r="E336" s="29" t="str">
        <f t="shared" si="11"/>
        <v>60_64</v>
      </c>
      <c r="F336" s="29">
        <f>VLOOKUP(A336,POPN!$A$1:$B$39,2,FALSE)*(1+GROWTH!C336)</f>
        <v>21194.986667160476</v>
      </c>
    </row>
    <row r="337" spans="1:6" x14ac:dyDescent="0.25">
      <c r="A337" t="s">
        <v>33</v>
      </c>
      <c r="B337">
        <v>2045</v>
      </c>
      <c r="C337">
        <v>-3.1008110810710698E-2</v>
      </c>
      <c r="D337" s="29" t="str">
        <f t="shared" si="10"/>
        <v>M</v>
      </c>
      <c r="E337" s="29" t="str">
        <f t="shared" si="11"/>
        <v>60_64</v>
      </c>
      <c r="F337" s="29">
        <f>VLOOKUP(A337,POPN!$A$1:$B$39,2,FALSE)*(1+GROWTH!C337)</f>
        <v>21456.387402318433</v>
      </c>
    </row>
    <row r="338" spans="1:6" x14ac:dyDescent="0.25">
      <c r="A338" t="s">
        <v>33</v>
      </c>
      <c r="B338">
        <v>2046</v>
      </c>
      <c r="C338">
        <v>-1.5017962297692601E-2</v>
      </c>
      <c r="D338" s="29" t="str">
        <f t="shared" si="10"/>
        <v>M</v>
      </c>
      <c r="E338" s="29" t="str">
        <f t="shared" si="11"/>
        <v>60_64</v>
      </c>
      <c r="F338" s="29">
        <f>VLOOKUP(A338,POPN!$A$1:$B$39,2,FALSE)*(1+GROWTH!C338)</f>
        <v>21810.457260842191</v>
      </c>
    </row>
    <row r="339" spans="1:6" x14ac:dyDescent="0.25">
      <c r="A339" t="s">
        <v>33</v>
      </c>
      <c r="B339">
        <v>2047</v>
      </c>
      <c r="C339">
        <v>-4.1665123513943899E-4</v>
      </c>
      <c r="D339" s="29" t="str">
        <f t="shared" si="10"/>
        <v>M</v>
      </c>
      <c r="E339" s="29" t="str">
        <f t="shared" si="11"/>
        <v>60_64</v>
      </c>
      <c r="F339" s="29">
        <f>VLOOKUP(A339,POPN!$A$1:$B$39,2,FALSE)*(1+GROWTH!C339)</f>
        <v>22133.774091700307</v>
      </c>
    </row>
    <row r="340" spans="1:6" x14ac:dyDescent="0.25">
      <c r="A340" t="s">
        <v>34</v>
      </c>
      <c r="B340">
        <v>2022</v>
      </c>
      <c r="C340">
        <v>-6.9699651793238296E-2</v>
      </c>
      <c r="D340" s="29" t="str">
        <f t="shared" si="10"/>
        <v>M</v>
      </c>
      <c r="E340" s="29" t="str">
        <f t="shared" si="11"/>
        <v>65_69</v>
      </c>
      <c r="F340" s="29">
        <f>VLOOKUP(A340,POPN!$A$1:$B$39,2,FALSE)*(1+GROWTH!C340)</f>
        <v>17825.484971989761</v>
      </c>
    </row>
    <row r="341" spans="1:6" x14ac:dyDescent="0.25">
      <c r="A341" t="s">
        <v>34</v>
      </c>
      <c r="B341">
        <v>2023</v>
      </c>
      <c r="C341">
        <v>-5.4610692120563201E-2</v>
      </c>
      <c r="D341" s="29" t="str">
        <f t="shared" si="10"/>
        <v>M</v>
      </c>
      <c r="E341" s="29" t="str">
        <f t="shared" si="11"/>
        <v>65_69</v>
      </c>
      <c r="F341" s="29">
        <f>VLOOKUP(A341,POPN!$A$1:$B$39,2,FALSE)*(1+GROWTH!C341)</f>
        <v>18114.604528277887</v>
      </c>
    </row>
    <row r="342" spans="1:6" x14ac:dyDescent="0.25">
      <c r="A342" t="s">
        <v>34</v>
      </c>
      <c r="B342">
        <v>2024</v>
      </c>
      <c r="C342">
        <v>-3.1237909487441699E-2</v>
      </c>
      <c r="D342" s="29" t="str">
        <f t="shared" si="10"/>
        <v>M</v>
      </c>
      <c r="E342" s="29" t="str">
        <f t="shared" si="11"/>
        <v>65_69</v>
      </c>
      <c r="F342" s="29">
        <f>VLOOKUP(A342,POPN!$A$1:$B$39,2,FALSE)*(1+GROWTH!C342)</f>
        <v>18562.450416311131</v>
      </c>
    </row>
    <row r="343" spans="1:6" x14ac:dyDescent="0.25">
      <c r="A343" t="s">
        <v>34</v>
      </c>
      <c r="B343">
        <v>2025</v>
      </c>
      <c r="C343">
        <v>0</v>
      </c>
      <c r="D343" s="29" t="str">
        <f t="shared" si="10"/>
        <v>M</v>
      </c>
      <c r="E343" s="29" t="str">
        <f t="shared" si="11"/>
        <v>65_69</v>
      </c>
      <c r="F343" s="29">
        <f>VLOOKUP(A343,POPN!$A$1:$B$39,2,FALSE)*(1+GROWTH!C343)</f>
        <v>19161</v>
      </c>
    </row>
    <row r="344" spans="1:6" x14ac:dyDescent="0.25">
      <c r="A344" t="s">
        <v>34</v>
      </c>
      <c r="B344">
        <v>2026</v>
      </c>
      <c r="C344">
        <v>3.4698777301371102E-2</v>
      </c>
      <c r="D344" s="29" t="str">
        <f t="shared" si="10"/>
        <v>M</v>
      </c>
      <c r="E344" s="29" t="str">
        <f t="shared" si="11"/>
        <v>65_69</v>
      </c>
      <c r="F344" s="29">
        <f>VLOOKUP(A344,POPN!$A$1:$B$39,2,FALSE)*(1+GROWTH!C344)</f>
        <v>19825.863271871574</v>
      </c>
    </row>
    <row r="345" spans="1:6" x14ac:dyDescent="0.25">
      <c r="A345" t="s">
        <v>34</v>
      </c>
      <c r="B345">
        <v>2027</v>
      </c>
      <c r="C345">
        <v>7.0531744054780507E-2</v>
      </c>
      <c r="D345" s="29" t="str">
        <f t="shared" si="10"/>
        <v>M</v>
      </c>
      <c r="E345" s="29" t="str">
        <f t="shared" si="11"/>
        <v>65_69</v>
      </c>
      <c r="F345" s="29">
        <f>VLOOKUP(A345,POPN!$A$1:$B$39,2,FALSE)*(1+GROWTH!C345)</f>
        <v>20512.458747833651</v>
      </c>
    </row>
    <row r="346" spans="1:6" x14ac:dyDescent="0.25">
      <c r="A346" t="s">
        <v>34</v>
      </c>
      <c r="B346">
        <v>2028</v>
      </c>
      <c r="C346">
        <v>0.105166921947626</v>
      </c>
      <c r="D346" s="29" t="str">
        <f t="shared" si="10"/>
        <v>M</v>
      </c>
      <c r="E346" s="29" t="str">
        <f t="shared" si="11"/>
        <v>65_69</v>
      </c>
      <c r="F346" s="29">
        <f>VLOOKUP(A346,POPN!$A$1:$B$39,2,FALSE)*(1+GROWTH!C346)</f>
        <v>21176.103391438461</v>
      </c>
    </row>
    <row r="347" spans="1:6" x14ac:dyDescent="0.25">
      <c r="A347" t="s">
        <v>34</v>
      </c>
      <c r="B347">
        <v>2029</v>
      </c>
      <c r="C347">
        <v>0.142536874407068</v>
      </c>
      <c r="D347" s="29" t="str">
        <f t="shared" si="10"/>
        <v>M</v>
      </c>
      <c r="E347" s="29" t="str">
        <f t="shared" si="11"/>
        <v>65_69</v>
      </c>
      <c r="F347" s="29">
        <f>VLOOKUP(A347,POPN!$A$1:$B$39,2,FALSE)*(1+GROWTH!C347)</f>
        <v>21892.149050513832</v>
      </c>
    </row>
    <row r="348" spans="1:6" x14ac:dyDescent="0.25">
      <c r="A348" t="s">
        <v>34</v>
      </c>
      <c r="B348">
        <v>2030</v>
      </c>
      <c r="C348">
        <v>0.176196861369189</v>
      </c>
      <c r="D348" s="29" t="str">
        <f t="shared" si="10"/>
        <v>M</v>
      </c>
      <c r="E348" s="29" t="str">
        <f t="shared" si="11"/>
        <v>65_69</v>
      </c>
      <c r="F348" s="29">
        <f>VLOOKUP(A348,POPN!$A$1:$B$39,2,FALSE)*(1+GROWTH!C348)</f>
        <v>22537.108060695027</v>
      </c>
    </row>
    <row r="349" spans="1:6" x14ac:dyDescent="0.25">
      <c r="A349" t="s">
        <v>34</v>
      </c>
      <c r="B349">
        <v>2031</v>
      </c>
      <c r="C349">
        <v>0.19760336228873099</v>
      </c>
      <c r="D349" s="29" t="str">
        <f t="shared" si="10"/>
        <v>M</v>
      </c>
      <c r="E349" s="29" t="str">
        <f t="shared" si="11"/>
        <v>65_69</v>
      </c>
      <c r="F349" s="29">
        <f>VLOOKUP(A349,POPN!$A$1:$B$39,2,FALSE)*(1+GROWTH!C349)</f>
        <v>22947.278024814375</v>
      </c>
    </row>
    <row r="350" spans="1:6" x14ac:dyDescent="0.25">
      <c r="A350" t="s">
        <v>34</v>
      </c>
      <c r="B350">
        <v>2032</v>
      </c>
      <c r="C350">
        <v>0.21308981826469001</v>
      </c>
      <c r="D350" s="29" t="str">
        <f t="shared" si="10"/>
        <v>M</v>
      </c>
      <c r="E350" s="29" t="str">
        <f t="shared" si="11"/>
        <v>65_69</v>
      </c>
      <c r="F350" s="29">
        <f>VLOOKUP(A350,POPN!$A$1:$B$39,2,FALSE)*(1+GROWTH!C350)</f>
        <v>23244.014007769725</v>
      </c>
    </row>
    <row r="351" spans="1:6" x14ac:dyDescent="0.25">
      <c r="A351" t="s">
        <v>34</v>
      </c>
      <c r="B351">
        <v>2033</v>
      </c>
      <c r="C351">
        <v>0.22167573841563301</v>
      </c>
      <c r="D351" s="29" t="str">
        <f t="shared" si="10"/>
        <v>M</v>
      </c>
      <c r="E351" s="29" t="str">
        <f t="shared" si="11"/>
        <v>65_69</v>
      </c>
      <c r="F351" s="29">
        <f>VLOOKUP(A351,POPN!$A$1:$B$39,2,FALSE)*(1+GROWTH!C351)</f>
        <v>23408.528823781944</v>
      </c>
    </row>
    <row r="352" spans="1:6" x14ac:dyDescent="0.25">
      <c r="A352" t="s">
        <v>34</v>
      </c>
      <c r="B352">
        <v>2034</v>
      </c>
      <c r="C352">
        <v>0.21904166291253499</v>
      </c>
      <c r="D352" s="29" t="str">
        <f t="shared" si="10"/>
        <v>M</v>
      </c>
      <c r="E352" s="29" t="str">
        <f t="shared" si="11"/>
        <v>65_69</v>
      </c>
      <c r="F352" s="29">
        <f>VLOOKUP(A352,POPN!$A$1:$B$39,2,FALSE)*(1+GROWTH!C352)</f>
        <v>23358.057303067082</v>
      </c>
    </row>
    <row r="353" spans="1:6" x14ac:dyDescent="0.25">
      <c r="A353" t="s">
        <v>34</v>
      </c>
      <c r="B353">
        <v>2035</v>
      </c>
      <c r="C353">
        <v>0.206581478792247</v>
      </c>
      <c r="D353" s="29" t="str">
        <f t="shared" si="10"/>
        <v>M</v>
      </c>
      <c r="E353" s="29" t="str">
        <f t="shared" si="11"/>
        <v>65_69</v>
      </c>
      <c r="F353" s="29">
        <f>VLOOKUP(A353,POPN!$A$1:$B$39,2,FALSE)*(1+GROWTH!C353)</f>
        <v>23119.307715138246</v>
      </c>
    </row>
    <row r="354" spans="1:6" x14ac:dyDescent="0.25">
      <c r="A354" t="s">
        <v>34</v>
      </c>
      <c r="B354">
        <v>2036</v>
      </c>
      <c r="C354">
        <v>0.203200110238975</v>
      </c>
      <c r="D354" s="29" t="str">
        <f t="shared" si="10"/>
        <v>M</v>
      </c>
      <c r="E354" s="29" t="str">
        <f t="shared" si="11"/>
        <v>65_69</v>
      </c>
      <c r="F354" s="29">
        <f>VLOOKUP(A354,POPN!$A$1:$B$39,2,FALSE)*(1+GROWTH!C354)</f>
        <v>23054.517312289001</v>
      </c>
    </row>
    <row r="355" spans="1:6" x14ac:dyDescent="0.25">
      <c r="A355" t="s">
        <v>34</v>
      </c>
      <c r="B355">
        <v>2037</v>
      </c>
      <c r="C355">
        <v>0.188763044503686</v>
      </c>
      <c r="D355" s="29" t="str">
        <f t="shared" si="10"/>
        <v>M</v>
      </c>
      <c r="E355" s="29" t="str">
        <f t="shared" si="11"/>
        <v>65_69</v>
      </c>
      <c r="F355" s="29">
        <f>VLOOKUP(A355,POPN!$A$1:$B$39,2,FALSE)*(1+GROWTH!C355)</f>
        <v>22777.888695735128</v>
      </c>
    </row>
    <row r="356" spans="1:6" x14ac:dyDescent="0.25">
      <c r="A356" t="s">
        <v>34</v>
      </c>
      <c r="B356">
        <v>2038</v>
      </c>
      <c r="C356">
        <v>0.16846953323334099</v>
      </c>
      <c r="D356" s="29" t="str">
        <f t="shared" si="10"/>
        <v>M</v>
      </c>
      <c r="E356" s="29" t="str">
        <f t="shared" si="11"/>
        <v>65_69</v>
      </c>
      <c r="F356" s="29">
        <f>VLOOKUP(A356,POPN!$A$1:$B$39,2,FALSE)*(1+GROWTH!C356)</f>
        <v>22389.044726284046</v>
      </c>
    </row>
    <row r="357" spans="1:6" x14ac:dyDescent="0.25">
      <c r="A357" t="s">
        <v>34</v>
      </c>
      <c r="B357">
        <v>2039</v>
      </c>
      <c r="C357">
        <v>0.14255807420991001</v>
      </c>
      <c r="D357" s="29" t="str">
        <f t="shared" si="10"/>
        <v>M</v>
      </c>
      <c r="E357" s="29" t="str">
        <f t="shared" si="11"/>
        <v>65_69</v>
      </c>
      <c r="F357" s="29">
        <f>VLOOKUP(A357,POPN!$A$1:$B$39,2,FALSE)*(1+GROWTH!C357)</f>
        <v>21892.555259936085</v>
      </c>
    </row>
    <row r="358" spans="1:6" x14ac:dyDescent="0.25">
      <c r="A358" t="s">
        <v>34</v>
      </c>
      <c r="B358">
        <v>2040</v>
      </c>
      <c r="C358">
        <v>0.116185519474669</v>
      </c>
      <c r="D358" s="29" t="str">
        <f t="shared" si="10"/>
        <v>M</v>
      </c>
      <c r="E358" s="29" t="str">
        <f t="shared" si="11"/>
        <v>65_69</v>
      </c>
      <c r="F358" s="29">
        <f>VLOOKUP(A358,POPN!$A$1:$B$39,2,FALSE)*(1+GROWTH!C358)</f>
        <v>21387.230738654132</v>
      </c>
    </row>
    <row r="359" spans="1:6" x14ac:dyDescent="0.25">
      <c r="A359" t="s">
        <v>34</v>
      </c>
      <c r="B359">
        <v>2041</v>
      </c>
      <c r="C359">
        <v>7.6266290723496305E-2</v>
      </c>
      <c r="D359" s="29" t="str">
        <f t="shared" si="10"/>
        <v>M</v>
      </c>
      <c r="E359" s="29" t="str">
        <f t="shared" si="11"/>
        <v>65_69</v>
      </c>
      <c r="F359" s="29">
        <f>VLOOKUP(A359,POPN!$A$1:$B$39,2,FALSE)*(1+GROWTH!C359)</f>
        <v>20622.338396552914</v>
      </c>
    </row>
    <row r="360" spans="1:6" x14ac:dyDescent="0.25">
      <c r="A360" t="s">
        <v>34</v>
      </c>
      <c r="B360">
        <v>2042</v>
      </c>
      <c r="C360">
        <v>4.4689184390585203E-2</v>
      </c>
      <c r="D360" s="29" t="str">
        <f t="shared" si="10"/>
        <v>M</v>
      </c>
      <c r="E360" s="29" t="str">
        <f t="shared" si="11"/>
        <v>65_69</v>
      </c>
      <c r="F360" s="29">
        <f>VLOOKUP(A360,POPN!$A$1:$B$39,2,FALSE)*(1+GROWTH!C360)</f>
        <v>20017.289462108005</v>
      </c>
    </row>
    <row r="361" spans="1:6" x14ac:dyDescent="0.25">
      <c r="A361" t="s">
        <v>34</v>
      </c>
      <c r="B361">
        <v>2043</v>
      </c>
      <c r="C361">
        <v>2.3123684949730099E-2</v>
      </c>
      <c r="D361" s="29" t="str">
        <f t="shared" si="10"/>
        <v>M</v>
      </c>
      <c r="E361" s="29" t="str">
        <f t="shared" si="11"/>
        <v>65_69</v>
      </c>
      <c r="F361" s="29">
        <f>VLOOKUP(A361,POPN!$A$1:$B$39,2,FALSE)*(1+GROWTH!C361)</f>
        <v>19604.072927321777</v>
      </c>
    </row>
    <row r="362" spans="1:6" x14ac:dyDescent="0.25">
      <c r="A362" t="s">
        <v>34</v>
      </c>
      <c r="B362">
        <v>2044</v>
      </c>
      <c r="C362">
        <v>2.5498062868015401E-2</v>
      </c>
      <c r="D362" s="29" t="str">
        <f t="shared" si="10"/>
        <v>M</v>
      </c>
      <c r="E362" s="29" t="str">
        <f t="shared" si="11"/>
        <v>65_69</v>
      </c>
      <c r="F362" s="29">
        <f>VLOOKUP(A362,POPN!$A$1:$B$39,2,FALSE)*(1+GROWTH!C362)</f>
        <v>19649.568382614045</v>
      </c>
    </row>
    <row r="363" spans="1:6" x14ac:dyDescent="0.25">
      <c r="A363" t="s">
        <v>34</v>
      </c>
      <c r="B363">
        <v>2045</v>
      </c>
      <c r="C363">
        <v>4.36291942484935E-2</v>
      </c>
      <c r="D363" s="29" t="str">
        <f t="shared" si="10"/>
        <v>M</v>
      </c>
      <c r="E363" s="29" t="str">
        <f t="shared" si="11"/>
        <v>65_69</v>
      </c>
      <c r="F363" s="29">
        <f>VLOOKUP(A363,POPN!$A$1:$B$39,2,FALSE)*(1+GROWTH!C363)</f>
        <v>19996.978990995383</v>
      </c>
    </row>
    <row r="364" spans="1:6" x14ac:dyDescent="0.25">
      <c r="A364" t="s">
        <v>34</v>
      </c>
      <c r="B364">
        <v>2046</v>
      </c>
      <c r="C364">
        <v>6.7759869833210598E-2</v>
      </c>
      <c r="D364" s="29" t="str">
        <f t="shared" si="10"/>
        <v>M</v>
      </c>
      <c r="E364" s="29" t="str">
        <f t="shared" si="11"/>
        <v>65_69</v>
      </c>
      <c r="F364" s="29">
        <f>VLOOKUP(A364,POPN!$A$1:$B$39,2,FALSE)*(1+GROWTH!C364)</f>
        <v>20459.346865874151</v>
      </c>
    </row>
    <row r="365" spans="1:6" x14ac:dyDescent="0.25">
      <c r="A365" t="s">
        <v>34</v>
      </c>
      <c r="B365">
        <v>2047</v>
      </c>
      <c r="C365">
        <v>9.7852989967193493E-2</v>
      </c>
      <c r="D365" s="29" t="str">
        <f t="shared" si="10"/>
        <v>M</v>
      </c>
      <c r="E365" s="29" t="str">
        <f t="shared" si="11"/>
        <v>65_69</v>
      </c>
      <c r="F365" s="29">
        <f>VLOOKUP(A365,POPN!$A$1:$B$39,2,FALSE)*(1+GROWTH!C365)</f>
        <v>21035.961140761396</v>
      </c>
    </row>
    <row r="366" spans="1:6" x14ac:dyDescent="0.25">
      <c r="A366" t="s">
        <v>35</v>
      </c>
      <c r="B366">
        <v>2022</v>
      </c>
      <c r="C366">
        <v>4.7934351675669999E-2</v>
      </c>
      <c r="D366" s="29" t="str">
        <f t="shared" si="10"/>
        <v>M</v>
      </c>
      <c r="E366" s="29" t="str">
        <f t="shared" si="11"/>
        <v>70_74</v>
      </c>
      <c r="F366" s="29">
        <f>VLOOKUP(A366,POPN!$A$1:$B$39,2,FALSE)*(1+GROWTH!C366)</f>
        <v>17491.072263818609</v>
      </c>
    </row>
    <row r="367" spans="1:6" x14ac:dyDescent="0.25">
      <c r="A367" t="s">
        <v>35</v>
      </c>
      <c r="B367">
        <v>2023</v>
      </c>
      <c r="C367">
        <v>1.9663864556149199E-2</v>
      </c>
      <c r="D367" s="29" t="str">
        <f t="shared" si="10"/>
        <v>M</v>
      </c>
      <c r="E367" s="29" t="str">
        <f t="shared" si="11"/>
        <v>70_74</v>
      </c>
      <c r="F367" s="29">
        <f>VLOOKUP(A367,POPN!$A$1:$B$39,2,FALSE)*(1+GROWTH!C367)</f>
        <v>17019.209563306686</v>
      </c>
    </row>
    <row r="368" spans="1:6" x14ac:dyDescent="0.25">
      <c r="A368" t="s">
        <v>35</v>
      </c>
      <c r="B368">
        <v>2024</v>
      </c>
      <c r="C368">
        <v>6.1088758372459199E-3</v>
      </c>
      <c r="D368" s="29" t="str">
        <f t="shared" si="10"/>
        <v>M</v>
      </c>
      <c r="E368" s="29" t="str">
        <f t="shared" si="11"/>
        <v>70_74</v>
      </c>
      <c r="F368" s="29">
        <f>VLOOKUP(A368,POPN!$A$1:$B$39,2,FALSE)*(1+GROWTH!C368)</f>
        <v>16792.963246599469</v>
      </c>
    </row>
    <row r="369" spans="1:6" x14ac:dyDescent="0.25">
      <c r="A369" t="s">
        <v>35</v>
      </c>
      <c r="B369">
        <v>2025</v>
      </c>
      <c r="C369">
        <v>0</v>
      </c>
      <c r="D369" s="29" t="str">
        <f t="shared" si="10"/>
        <v>M</v>
      </c>
      <c r="E369" s="29" t="str">
        <f t="shared" si="11"/>
        <v>70_74</v>
      </c>
      <c r="F369" s="29">
        <f>VLOOKUP(A369,POPN!$A$1:$B$39,2,FALSE)*(1+GROWTH!C369)</f>
        <v>16691</v>
      </c>
    </row>
    <row r="370" spans="1:6" x14ac:dyDescent="0.25">
      <c r="A370" t="s">
        <v>35</v>
      </c>
      <c r="B370">
        <v>2026</v>
      </c>
      <c r="C370">
        <v>-3.8821110672564202E-3</v>
      </c>
      <c r="D370" s="29" t="str">
        <f t="shared" si="10"/>
        <v>M</v>
      </c>
      <c r="E370" s="29" t="str">
        <f t="shared" si="11"/>
        <v>70_74</v>
      </c>
      <c r="F370" s="29">
        <f>VLOOKUP(A370,POPN!$A$1:$B$39,2,FALSE)*(1+GROWTH!C370)</f>
        <v>16626.203684176424</v>
      </c>
    </row>
    <row r="371" spans="1:6" x14ac:dyDescent="0.25">
      <c r="A371" t="s">
        <v>35</v>
      </c>
      <c r="B371">
        <v>2027</v>
      </c>
      <c r="C371">
        <v>8.5123679699327798E-3</v>
      </c>
      <c r="D371" s="29" t="str">
        <f t="shared" si="10"/>
        <v>M</v>
      </c>
      <c r="E371" s="29" t="str">
        <f t="shared" si="11"/>
        <v>70_74</v>
      </c>
      <c r="F371" s="29">
        <f>VLOOKUP(A371,POPN!$A$1:$B$39,2,FALSE)*(1+GROWTH!C371)</f>
        <v>16833.07993378615</v>
      </c>
    </row>
    <row r="372" spans="1:6" x14ac:dyDescent="0.25">
      <c r="A372" t="s">
        <v>35</v>
      </c>
      <c r="B372">
        <v>2028</v>
      </c>
      <c r="C372">
        <v>2.6797759097041102E-2</v>
      </c>
      <c r="D372" s="29" t="str">
        <f t="shared" si="10"/>
        <v>M</v>
      </c>
      <c r="E372" s="29" t="str">
        <f t="shared" si="11"/>
        <v>70_74</v>
      </c>
      <c r="F372" s="29">
        <f>VLOOKUP(A372,POPN!$A$1:$B$39,2,FALSE)*(1+GROWTH!C372)</f>
        <v>17138.281397088715</v>
      </c>
    </row>
    <row r="373" spans="1:6" x14ac:dyDescent="0.25">
      <c r="A373" t="s">
        <v>35</v>
      </c>
      <c r="B373">
        <v>2029</v>
      </c>
      <c r="C373">
        <v>5.3253845292866697E-2</v>
      </c>
      <c r="D373" s="29" t="str">
        <f t="shared" si="10"/>
        <v>M</v>
      </c>
      <c r="E373" s="29" t="str">
        <f t="shared" si="11"/>
        <v>70_74</v>
      </c>
      <c r="F373" s="29">
        <f>VLOOKUP(A373,POPN!$A$1:$B$39,2,FALSE)*(1+GROWTH!C373)</f>
        <v>17579.859931783238</v>
      </c>
    </row>
    <row r="374" spans="1:6" x14ac:dyDescent="0.25">
      <c r="A374" t="s">
        <v>35</v>
      </c>
      <c r="B374">
        <v>2030</v>
      </c>
      <c r="C374">
        <v>8.7780481051881395E-2</v>
      </c>
      <c r="D374" s="29" t="str">
        <f t="shared" si="10"/>
        <v>M</v>
      </c>
      <c r="E374" s="29" t="str">
        <f t="shared" si="11"/>
        <v>70_74</v>
      </c>
      <c r="F374" s="29">
        <f>VLOOKUP(A374,POPN!$A$1:$B$39,2,FALSE)*(1+GROWTH!C374)</f>
        <v>18156.144009236952</v>
      </c>
    </row>
    <row r="375" spans="1:6" x14ac:dyDescent="0.25">
      <c r="A375" t="s">
        <v>35</v>
      </c>
      <c r="B375">
        <v>2031</v>
      </c>
      <c r="C375">
        <v>0.12600660960336499</v>
      </c>
      <c r="D375" s="29" t="str">
        <f t="shared" si="10"/>
        <v>M</v>
      </c>
      <c r="E375" s="29" t="str">
        <f t="shared" si="11"/>
        <v>70_74</v>
      </c>
      <c r="F375" s="29">
        <f>VLOOKUP(A375,POPN!$A$1:$B$39,2,FALSE)*(1+GROWTH!C375)</f>
        <v>18794.176320889765</v>
      </c>
    </row>
    <row r="376" spans="1:6" x14ac:dyDescent="0.25">
      <c r="A376" t="s">
        <v>35</v>
      </c>
      <c r="B376">
        <v>2032</v>
      </c>
      <c r="C376">
        <v>0.16594699357301501</v>
      </c>
      <c r="D376" s="29" t="str">
        <f t="shared" si="10"/>
        <v>M</v>
      </c>
      <c r="E376" s="29" t="str">
        <f t="shared" si="11"/>
        <v>70_74</v>
      </c>
      <c r="F376" s="29">
        <f>VLOOKUP(A376,POPN!$A$1:$B$39,2,FALSE)*(1+GROWTH!C376)</f>
        <v>19460.821269727192</v>
      </c>
    </row>
    <row r="377" spans="1:6" x14ac:dyDescent="0.25">
      <c r="A377" t="s">
        <v>35</v>
      </c>
      <c r="B377">
        <v>2033</v>
      </c>
      <c r="C377">
        <v>0.20389035834418301</v>
      </c>
      <c r="D377" s="29" t="str">
        <f t="shared" si="10"/>
        <v>M</v>
      </c>
      <c r="E377" s="29" t="str">
        <f t="shared" si="11"/>
        <v>70_74</v>
      </c>
      <c r="F377" s="29">
        <f>VLOOKUP(A377,POPN!$A$1:$B$39,2,FALSE)*(1+GROWTH!C377)</f>
        <v>20094.133971122759</v>
      </c>
    </row>
    <row r="378" spans="1:6" x14ac:dyDescent="0.25">
      <c r="A378" t="s">
        <v>35</v>
      </c>
      <c r="B378">
        <v>2034</v>
      </c>
      <c r="C378">
        <v>0.24419597886340699</v>
      </c>
      <c r="D378" s="29" t="str">
        <f t="shared" si="10"/>
        <v>M</v>
      </c>
      <c r="E378" s="29" t="str">
        <f t="shared" si="11"/>
        <v>70_74</v>
      </c>
      <c r="F378" s="29">
        <f>VLOOKUP(A378,POPN!$A$1:$B$39,2,FALSE)*(1+GROWTH!C378)</f>
        <v>20766.875083209125</v>
      </c>
    </row>
    <row r="379" spans="1:6" x14ac:dyDescent="0.25">
      <c r="A379" t="s">
        <v>35</v>
      </c>
      <c r="B379">
        <v>2035</v>
      </c>
      <c r="C379">
        <v>0.28059003375492603</v>
      </c>
      <c r="D379" s="29" t="str">
        <f t="shared" si="10"/>
        <v>M</v>
      </c>
      <c r="E379" s="29" t="str">
        <f t="shared" si="11"/>
        <v>70_74</v>
      </c>
      <c r="F379" s="29">
        <f>VLOOKUP(A379,POPN!$A$1:$B$39,2,FALSE)*(1+GROWTH!C379)</f>
        <v>21374.32825340347</v>
      </c>
    </row>
    <row r="380" spans="1:6" x14ac:dyDescent="0.25">
      <c r="A380" t="s">
        <v>35</v>
      </c>
      <c r="B380">
        <v>2036</v>
      </c>
      <c r="C380">
        <v>0.30395339110354502</v>
      </c>
      <c r="D380" s="29" t="str">
        <f t="shared" si="10"/>
        <v>M</v>
      </c>
      <c r="E380" s="29" t="str">
        <f t="shared" si="11"/>
        <v>70_74</v>
      </c>
      <c r="F380" s="29">
        <f>VLOOKUP(A380,POPN!$A$1:$B$39,2,FALSE)*(1+GROWTH!C380)</f>
        <v>21764.286050909272</v>
      </c>
    </row>
    <row r="381" spans="1:6" x14ac:dyDescent="0.25">
      <c r="A381" t="s">
        <v>35</v>
      </c>
      <c r="B381">
        <v>2037</v>
      </c>
      <c r="C381">
        <v>0.32081318150489302</v>
      </c>
      <c r="D381" s="29" t="str">
        <f t="shared" si="10"/>
        <v>M</v>
      </c>
      <c r="E381" s="29" t="str">
        <f t="shared" si="11"/>
        <v>70_74</v>
      </c>
      <c r="F381" s="29">
        <f>VLOOKUP(A381,POPN!$A$1:$B$39,2,FALSE)*(1+GROWTH!C381)</f>
        <v>22045.692812498171</v>
      </c>
    </row>
    <row r="382" spans="1:6" x14ac:dyDescent="0.25">
      <c r="A382" t="s">
        <v>35</v>
      </c>
      <c r="B382">
        <v>2038</v>
      </c>
      <c r="C382">
        <v>0.32992053159590701</v>
      </c>
      <c r="D382" s="29" t="str">
        <f t="shared" si="10"/>
        <v>M</v>
      </c>
      <c r="E382" s="29" t="str">
        <f t="shared" si="11"/>
        <v>70_74</v>
      </c>
      <c r="F382" s="29">
        <f>VLOOKUP(A382,POPN!$A$1:$B$39,2,FALSE)*(1+GROWTH!C382)</f>
        <v>22197.703592867285</v>
      </c>
    </row>
    <row r="383" spans="1:6" x14ac:dyDescent="0.25">
      <c r="A383" t="s">
        <v>35</v>
      </c>
      <c r="B383">
        <v>2039</v>
      </c>
      <c r="C383">
        <v>0.327935294221604</v>
      </c>
      <c r="D383" s="29" t="str">
        <f t="shared" si="10"/>
        <v>M</v>
      </c>
      <c r="E383" s="29" t="str">
        <f t="shared" si="11"/>
        <v>70_74</v>
      </c>
      <c r="F383" s="29">
        <f>VLOOKUP(A383,POPN!$A$1:$B$39,2,FALSE)*(1+GROWTH!C383)</f>
        <v>22164.567995852794</v>
      </c>
    </row>
    <row r="384" spans="1:6" x14ac:dyDescent="0.25">
      <c r="A384" t="s">
        <v>35</v>
      </c>
      <c r="B384">
        <v>2040</v>
      </c>
      <c r="C384">
        <v>0.31551136062396601</v>
      </c>
      <c r="D384" s="29" t="str">
        <f t="shared" si="10"/>
        <v>M</v>
      </c>
      <c r="E384" s="29" t="str">
        <f t="shared" si="11"/>
        <v>70_74</v>
      </c>
      <c r="F384" s="29">
        <f>VLOOKUP(A384,POPN!$A$1:$B$39,2,FALSE)*(1+GROWTH!C384)</f>
        <v>21957.200120174617</v>
      </c>
    </row>
    <row r="385" spans="1:6" x14ac:dyDescent="0.25">
      <c r="A385" t="s">
        <v>35</v>
      </c>
      <c r="B385">
        <v>2041</v>
      </c>
      <c r="C385">
        <v>0.31276619559006302</v>
      </c>
      <c r="D385" s="29" t="str">
        <f t="shared" si="10"/>
        <v>M</v>
      </c>
      <c r="E385" s="29" t="str">
        <f t="shared" si="11"/>
        <v>70_74</v>
      </c>
      <c r="F385" s="29">
        <f>VLOOKUP(A385,POPN!$A$1:$B$39,2,FALSE)*(1+GROWTH!C385)</f>
        <v>21911.380570593745</v>
      </c>
    </row>
    <row r="386" spans="1:6" x14ac:dyDescent="0.25">
      <c r="A386" t="s">
        <v>35</v>
      </c>
      <c r="B386">
        <v>2042</v>
      </c>
      <c r="C386">
        <v>0.29855731562917898</v>
      </c>
      <c r="D386" s="29" t="str">
        <f t="shared" si="10"/>
        <v>M</v>
      </c>
      <c r="E386" s="29" t="str">
        <f t="shared" si="11"/>
        <v>70_74</v>
      </c>
      <c r="F386" s="29">
        <f>VLOOKUP(A386,POPN!$A$1:$B$39,2,FALSE)*(1+GROWTH!C386)</f>
        <v>21674.220155166626</v>
      </c>
    </row>
    <row r="387" spans="1:6" x14ac:dyDescent="0.25">
      <c r="A387" t="s">
        <v>35</v>
      </c>
      <c r="B387">
        <v>2043</v>
      </c>
      <c r="C387">
        <v>0.27803926881999103</v>
      </c>
      <c r="D387" s="29" t="str">
        <f t="shared" ref="D387:D450" si="12">LEFT(A387,1)</f>
        <v>M</v>
      </c>
      <c r="E387" s="29" t="str">
        <f t="shared" ref="E387:E450" si="13">MID(A387,3,LEN(A387)-2)</f>
        <v>70_74</v>
      </c>
      <c r="F387" s="29">
        <f>VLOOKUP(A387,POPN!$A$1:$B$39,2,FALSE)*(1+GROWTH!C387)</f>
        <v>21331.753435874471</v>
      </c>
    </row>
    <row r="388" spans="1:6" x14ac:dyDescent="0.25">
      <c r="A388" t="s">
        <v>35</v>
      </c>
      <c r="B388">
        <v>2044</v>
      </c>
      <c r="C388">
        <v>0.25108245509652299</v>
      </c>
      <c r="D388" s="29" t="str">
        <f t="shared" si="12"/>
        <v>M</v>
      </c>
      <c r="E388" s="29" t="str">
        <f t="shared" si="13"/>
        <v>70_74</v>
      </c>
      <c r="F388" s="29">
        <f>VLOOKUP(A388,POPN!$A$1:$B$39,2,FALSE)*(1+GROWTH!C388)</f>
        <v>20881.817258016064</v>
      </c>
    </row>
    <row r="389" spans="1:6" x14ac:dyDescent="0.25">
      <c r="A389" t="s">
        <v>35</v>
      </c>
      <c r="B389">
        <v>2045</v>
      </c>
      <c r="C389">
        <v>0.223730950263029</v>
      </c>
      <c r="D389" s="29" t="str">
        <f t="shared" si="12"/>
        <v>M</v>
      </c>
      <c r="E389" s="29" t="str">
        <f t="shared" si="13"/>
        <v>70_74</v>
      </c>
      <c r="F389" s="29">
        <f>VLOOKUP(A389,POPN!$A$1:$B$39,2,FALSE)*(1+GROWTH!C389)</f>
        <v>20425.293290840214</v>
      </c>
    </row>
    <row r="390" spans="1:6" x14ac:dyDescent="0.25">
      <c r="A390" t="s">
        <v>35</v>
      </c>
      <c r="B390">
        <v>2046</v>
      </c>
      <c r="C390">
        <v>0.182712529380924</v>
      </c>
      <c r="D390" s="29" t="str">
        <f t="shared" si="12"/>
        <v>M</v>
      </c>
      <c r="E390" s="29" t="str">
        <f t="shared" si="13"/>
        <v>70_74</v>
      </c>
      <c r="F390" s="29">
        <f>VLOOKUP(A390,POPN!$A$1:$B$39,2,FALSE)*(1+GROWTH!C390)</f>
        <v>19740.654827897</v>
      </c>
    </row>
    <row r="391" spans="1:6" x14ac:dyDescent="0.25">
      <c r="A391" t="s">
        <v>35</v>
      </c>
      <c r="B391">
        <v>2047</v>
      </c>
      <c r="C391">
        <v>0.15007098549068401</v>
      </c>
      <c r="D391" s="29" t="str">
        <f t="shared" si="12"/>
        <v>M</v>
      </c>
      <c r="E391" s="29" t="str">
        <f t="shared" si="13"/>
        <v>70_74</v>
      </c>
      <c r="F391" s="29">
        <f>VLOOKUP(A391,POPN!$A$1:$B$39,2,FALSE)*(1+GROWTH!C391)</f>
        <v>19195.834818825009</v>
      </c>
    </row>
    <row r="392" spans="1:6" x14ac:dyDescent="0.25">
      <c r="A392" t="s">
        <v>36</v>
      </c>
      <c r="B392">
        <v>2022</v>
      </c>
      <c r="C392">
        <v>-8.8549858446052204E-2</v>
      </c>
      <c r="D392" s="29" t="str">
        <f t="shared" si="12"/>
        <v>M</v>
      </c>
      <c r="E392" s="29" t="str">
        <f t="shared" si="13"/>
        <v>75_79</v>
      </c>
      <c r="F392" s="29">
        <f>VLOOKUP(A392,POPN!$A$1:$B$39,2,FALSE)*(1+GROWTH!C392)</f>
        <v>15232.154765649575</v>
      </c>
    </row>
    <row r="393" spans="1:6" x14ac:dyDescent="0.25">
      <c r="A393" t="s">
        <v>36</v>
      </c>
      <c r="B393">
        <v>2023</v>
      </c>
      <c r="C393">
        <v>-4.1655576257652302E-2</v>
      </c>
      <c r="D393" s="29" t="str">
        <f t="shared" si="12"/>
        <v>M</v>
      </c>
      <c r="E393" s="29" t="str">
        <f t="shared" si="13"/>
        <v>75_79</v>
      </c>
      <c r="F393" s="29">
        <f>VLOOKUP(A393,POPN!$A$1:$B$39,2,FALSE)*(1+GROWTH!C393)</f>
        <v>16015.852009582115</v>
      </c>
    </row>
    <row r="394" spans="1:6" x14ac:dyDescent="0.25">
      <c r="A394" t="s">
        <v>36</v>
      </c>
      <c r="B394">
        <v>2024</v>
      </c>
      <c r="C394">
        <v>-1.28668908945725E-2</v>
      </c>
      <c r="D394" s="29" t="str">
        <f t="shared" si="12"/>
        <v>M</v>
      </c>
      <c r="E394" s="29" t="str">
        <f t="shared" si="13"/>
        <v>75_79</v>
      </c>
      <c r="F394" s="29">
        <f>VLOOKUP(A394,POPN!$A$1:$B$39,2,FALSE)*(1+GROWTH!C394)</f>
        <v>16496.968519369904</v>
      </c>
    </row>
    <row r="395" spans="1:6" x14ac:dyDescent="0.25">
      <c r="A395" t="s">
        <v>36</v>
      </c>
      <c r="B395">
        <v>2025</v>
      </c>
      <c r="C395">
        <v>0</v>
      </c>
      <c r="D395" s="29" t="str">
        <f t="shared" si="12"/>
        <v>M</v>
      </c>
      <c r="E395" s="29" t="str">
        <f t="shared" si="13"/>
        <v>75_79</v>
      </c>
      <c r="F395" s="29">
        <f>VLOOKUP(A395,POPN!$A$1:$B$39,2,FALSE)*(1+GROWTH!C395)</f>
        <v>16712</v>
      </c>
    </row>
    <row r="396" spans="1:6" x14ac:dyDescent="0.25">
      <c r="A396" t="s">
        <v>36</v>
      </c>
      <c r="B396">
        <v>2026</v>
      </c>
      <c r="C396">
        <v>1.19292472233649E-2</v>
      </c>
      <c r="D396" s="29" t="str">
        <f t="shared" si="12"/>
        <v>M</v>
      </c>
      <c r="E396" s="29" t="str">
        <f t="shared" si="13"/>
        <v>75_79</v>
      </c>
      <c r="F396" s="29">
        <f>VLOOKUP(A396,POPN!$A$1:$B$39,2,FALSE)*(1+GROWTH!C396)</f>
        <v>16911.361579596876</v>
      </c>
    </row>
    <row r="397" spans="1:6" x14ac:dyDescent="0.25">
      <c r="A397" t="s">
        <v>36</v>
      </c>
      <c r="B397">
        <v>2027</v>
      </c>
      <c r="C397">
        <v>-2.83591840685266E-2</v>
      </c>
      <c r="D397" s="29" t="str">
        <f t="shared" si="12"/>
        <v>M</v>
      </c>
      <c r="E397" s="29" t="str">
        <f t="shared" si="13"/>
        <v>75_79</v>
      </c>
      <c r="F397" s="29">
        <f>VLOOKUP(A397,POPN!$A$1:$B$39,2,FALSE)*(1+GROWTH!C397)</f>
        <v>16238.061315846784</v>
      </c>
    </row>
    <row r="398" spans="1:6" x14ac:dyDescent="0.25">
      <c r="A398" t="s">
        <v>36</v>
      </c>
      <c r="B398">
        <v>2028</v>
      </c>
      <c r="C398">
        <v>-5.36937111331574E-2</v>
      </c>
      <c r="D398" s="29" t="str">
        <f t="shared" si="12"/>
        <v>M</v>
      </c>
      <c r="E398" s="29" t="str">
        <f t="shared" si="13"/>
        <v>75_79</v>
      </c>
      <c r="F398" s="29">
        <f>VLOOKUP(A398,POPN!$A$1:$B$39,2,FALSE)*(1+GROWTH!C398)</f>
        <v>15814.670699542674</v>
      </c>
    </row>
    <row r="399" spans="1:6" x14ac:dyDescent="0.25">
      <c r="A399" t="s">
        <v>36</v>
      </c>
      <c r="B399">
        <v>2029</v>
      </c>
      <c r="C399">
        <v>-6.5489873448350902E-2</v>
      </c>
      <c r="D399" s="29" t="str">
        <f t="shared" si="12"/>
        <v>M</v>
      </c>
      <c r="E399" s="29" t="str">
        <f t="shared" si="13"/>
        <v>75_79</v>
      </c>
      <c r="F399" s="29">
        <f>VLOOKUP(A399,POPN!$A$1:$B$39,2,FALSE)*(1+GROWTH!C399)</f>
        <v>15617.533234931159</v>
      </c>
    </row>
    <row r="400" spans="1:6" x14ac:dyDescent="0.25">
      <c r="A400" t="s">
        <v>36</v>
      </c>
      <c r="B400">
        <v>2030</v>
      </c>
      <c r="C400">
        <v>-7.0401916422677596E-2</v>
      </c>
      <c r="D400" s="29" t="str">
        <f t="shared" si="12"/>
        <v>M</v>
      </c>
      <c r="E400" s="29" t="str">
        <f t="shared" si="13"/>
        <v>75_79</v>
      </c>
      <c r="F400" s="29">
        <f>VLOOKUP(A400,POPN!$A$1:$B$39,2,FALSE)*(1+GROWTH!C400)</f>
        <v>15535.443172744213</v>
      </c>
    </row>
    <row r="401" spans="1:6" x14ac:dyDescent="0.25">
      <c r="A401" t="s">
        <v>36</v>
      </c>
      <c r="B401">
        <v>2031</v>
      </c>
      <c r="C401">
        <v>-7.1527088828126903E-2</v>
      </c>
      <c r="D401" s="29" t="str">
        <f t="shared" si="12"/>
        <v>M</v>
      </c>
      <c r="E401" s="29" t="str">
        <f t="shared" si="13"/>
        <v>75_79</v>
      </c>
      <c r="F401" s="29">
        <f>VLOOKUP(A401,POPN!$A$1:$B$39,2,FALSE)*(1+GROWTH!C401)</f>
        <v>15516.639291504343</v>
      </c>
    </row>
    <row r="402" spans="1:6" x14ac:dyDescent="0.25">
      <c r="A402" t="s">
        <v>36</v>
      </c>
      <c r="B402">
        <v>2032</v>
      </c>
      <c r="C402">
        <v>-5.7807244658455603E-2</v>
      </c>
      <c r="D402" s="29" t="str">
        <f t="shared" si="12"/>
        <v>M</v>
      </c>
      <c r="E402" s="29" t="str">
        <f t="shared" si="13"/>
        <v>75_79</v>
      </c>
      <c r="F402" s="29">
        <f>VLOOKUP(A402,POPN!$A$1:$B$39,2,FALSE)*(1+GROWTH!C402)</f>
        <v>15745.925327267889</v>
      </c>
    </row>
    <row r="403" spans="1:6" x14ac:dyDescent="0.25">
      <c r="A403" t="s">
        <v>36</v>
      </c>
      <c r="B403">
        <v>2033</v>
      </c>
      <c r="C403">
        <v>-3.8443390519515099E-2</v>
      </c>
      <c r="D403" s="29" t="str">
        <f t="shared" si="12"/>
        <v>M</v>
      </c>
      <c r="E403" s="29" t="str">
        <f t="shared" si="13"/>
        <v>75_79</v>
      </c>
      <c r="F403" s="29">
        <f>VLOOKUP(A403,POPN!$A$1:$B$39,2,FALSE)*(1+GROWTH!C403)</f>
        <v>16069.534057637864</v>
      </c>
    </row>
    <row r="404" spans="1:6" x14ac:dyDescent="0.25">
      <c r="A404" t="s">
        <v>36</v>
      </c>
      <c r="B404">
        <v>2034</v>
      </c>
      <c r="C404">
        <v>-1.18748033972947E-2</v>
      </c>
      <c r="D404" s="29" t="str">
        <f t="shared" si="12"/>
        <v>M</v>
      </c>
      <c r="E404" s="29" t="str">
        <f t="shared" si="13"/>
        <v>75_79</v>
      </c>
      <c r="F404" s="29">
        <f>VLOOKUP(A404,POPN!$A$1:$B$39,2,FALSE)*(1+GROWTH!C404)</f>
        <v>16513.548285624409</v>
      </c>
    </row>
    <row r="405" spans="1:6" x14ac:dyDescent="0.25">
      <c r="A405" t="s">
        <v>36</v>
      </c>
      <c r="B405">
        <v>2035</v>
      </c>
      <c r="C405">
        <v>2.14024729595663E-2</v>
      </c>
      <c r="D405" s="29" t="str">
        <f t="shared" si="12"/>
        <v>M</v>
      </c>
      <c r="E405" s="29" t="str">
        <f t="shared" si="13"/>
        <v>75_79</v>
      </c>
      <c r="F405" s="29">
        <f>VLOOKUP(A405,POPN!$A$1:$B$39,2,FALSE)*(1+GROWTH!C405)</f>
        <v>17069.678128100273</v>
      </c>
    </row>
    <row r="406" spans="1:6" x14ac:dyDescent="0.25">
      <c r="A406" t="s">
        <v>36</v>
      </c>
      <c r="B406">
        <v>2036</v>
      </c>
      <c r="C406">
        <v>5.8418225373242698E-2</v>
      </c>
      <c r="D406" s="29" t="str">
        <f t="shared" si="12"/>
        <v>M</v>
      </c>
      <c r="E406" s="29" t="str">
        <f t="shared" si="13"/>
        <v>75_79</v>
      </c>
      <c r="F406" s="29">
        <f>VLOOKUP(A406,POPN!$A$1:$B$39,2,FALSE)*(1+GROWTH!C406)</f>
        <v>17688.285382437629</v>
      </c>
    </row>
    <row r="407" spans="1:6" x14ac:dyDescent="0.25">
      <c r="A407" t="s">
        <v>36</v>
      </c>
      <c r="B407">
        <v>2037</v>
      </c>
      <c r="C407">
        <v>9.6970503544898001E-2</v>
      </c>
      <c r="D407" s="29" t="str">
        <f t="shared" si="12"/>
        <v>M</v>
      </c>
      <c r="E407" s="29" t="str">
        <f t="shared" si="13"/>
        <v>75_79</v>
      </c>
      <c r="F407" s="29">
        <f>VLOOKUP(A407,POPN!$A$1:$B$39,2,FALSE)*(1+GROWTH!C407)</f>
        <v>18332.571055242337</v>
      </c>
    </row>
    <row r="408" spans="1:6" x14ac:dyDescent="0.25">
      <c r="A408" t="s">
        <v>36</v>
      </c>
      <c r="B408">
        <v>2038</v>
      </c>
      <c r="C408">
        <v>0.13349021220993501</v>
      </c>
      <c r="D408" s="29" t="str">
        <f t="shared" si="12"/>
        <v>M</v>
      </c>
      <c r="E408" s="29" t="str">
        <f t="shared" si="13"/>
        <v>75_79</v>
      </c>
      <c r="F408" s="29">
        <f>VLOOKUP(A408,POPN!$A$1:$B$39,2,FALSE)*(1+GROWTH!C408)</f>
        <v>18942.888426452435</v>
      </c>
    </row>
    <row r="409" spans="1:6" x14ac:dyDescent="0.25">
      <c r="A409" t="s">
        <v>36</v>
      </c>
      <c r="B409">
        <v>2039</v>
      </c>
      <c r="C409">
        <v>0.171927553415443</v>
      </c>
      <c r="D409" s="29" t="str">
        <f t="shared" si="12"/>
        <v>M</v>
      </c>
      <c r="E409" s="29" t="str">
        <f t="shared" si="13"/>
        <v>75_79</v>
      </c>
      <c r="F409" s="29">
        <f>VLOOKUP(A409,POPN!$A$1:$B$39,2,FALSE)*(1+GROWTH!C409)</f>
        <v>19585.253272678881</v>
      </c>
    </row>
    <row r="410" spans="1:6" x14ac:dyDescent="0.25">
      <c r="A410" t="s">
        <v>36</v>
      </c>
      <c r="B410">
        <v>2040</v>
      </c>
      <c r="C410">
        <v>0.206711108960244</v>
      </c>
      <c r="D410" s="29" t="str">
        <f t="shared" si="12"/>
        <v>M</v>
      </c>
      <c r="E410" s="29" t="str">
        <f t="shared" si="13"/>
        <v>75_79</v>
      </c>
      <c r="F410" s="29">
        <f>VLOOKUP(A410,POPN!$A$1:$B$39,2,FALSE)*(1+GROWTH!C410)</f>
        <v>20166.556052943597</v>
      </c>
    </row>
    <row r="411" spans="1:6" x14ac:dyDescent="0.25">
      <c r="A411" t="s">
        <v>36</v>
      </c>
      <c r="B411">
        <v>2041</v>
      </c>
      <c r="C411">
        <v>0.22957751590969599</v>
      </c>
      <c r="D411" s="29" t="str">
        <f t="shared" si="12"/>
        <v>M</v>
      </c>
      <c r="E411" s="29" t="str">
        <f t="shared" si="13"/>
        <v>75_79</v>
      </c>
      <c r="F411" s="29">
        <f>VLOOKUP(A411,POPN!$A$1:$B$39,2,FALSE)*(1+GROWTH!C411)</f>
        <v>20548.699445882841</v>
      </c>
    </row>
    <row r="412" spans="1:6" x14ac:dyDescent="0.25">
      <c r="A412" t="s">
        <v>36</v>
      </c>
      <c r="B412">
        <v>2042</v>
      </c>
      <c r="C412">
        <v>0.24629177051322401</v>
      </c>
      <c r="D412" s="29" t="str">
        <f t="shared" si="12"/>
        <v>M</v>
      </c>
      <c r="E412" s="29" t="str">
        <f t="shared" si="13"/>
        <v>75_79</v>
      </c>
      <c r="F412" s="29">
        <f>VLOOKUP(A412,POPN!$A$1:$B$39,2,FALSE)*(1+GROWTH!C412)</f>
        <v>20828.028068816999</v>
      </c>
    </row>
    <row r="413" spans="1:6" x14ac:dyDescent="0.25">
      <c r="A413" t="s">
        <v>36</v>
      </c>
      <c r="B413">
        <v>2043</v>
      </c>
      <c r="C413">
        <v>0.25560771408522298</v>
      </c>
      <c r="D413" s="29" t="str">
        <f t="shared" si="12"/>
        <v>M</v>
      </c>
      <c r="E413" s="29" t="str">
        <f t="shared" si="13"/>
        <v>75_79</v>
      </c>
      <c r="F413" s="29">
        <f>VLOOKUP(A413,POPN!$A$1:$B$39,2,FALSE)*(1+GROWTH!C413)</f>
        <v>20983.716117792246</v>
      </c>
    </row>
    <row r="414" spans="1:6" x14ac:dyDescent="0.25">
      <c r="A414" t="s">
        <v>36</v>
      </c>
      <c r="B414">
        <v>2044</v>
      </c>
      <c r="C414">
        <v>0.25522055798872401</v>
      </c>
      <c r="D414" s="29" t="str">
        <f t="shared" si="12"/>
        <v>M</v>
      </c>
      <c r="E414" s="29" t="str">
        <f t="shared" si="13"/>
        <v>75_79</v>
      </c>
      <c r="F414" s="29">
        <f>VLOOKUP(A414,POPN!$A$1:$B$39,2,FALSE)*(1+GROWTH!C414)</f>
        <v>20977.245965107559</v>
      </c>
    </row>
    <row r="415" spans="1:6" x14ac:dyDescent="0.25">
      <c r="A415" t="s">
        <v>36</v>
      </c>
      <c r="B415">
        <v>2045</v>
      </c>
      <c r="C415">
        <v>0.24508190771166599</v>
      </c>
      <c r="D415" s="29" t="str">
        <f t="shared" si="12"/>
        <v>M</v>
      </c>
      <c r="E415" s="29" t="str">
        <f t="shared" si="13"/>
        <v>75_79</v>
      </c>
      <c r="F415" s="29">
        <f>VLOOKUP(A415,POPN!$A$1:$B$39,2,FALSE)*(1+GROWTH!C415)</f>
        <v>20807.808841677361</v>
      </c>
    </row>
    <row r="416" spans="1:6" x14ac:dyDescent="0.25">
      <c r="A416" t="s">
        <v>36</v>
      </c>
      <c r="B416">
        <v>2046</v>
      </c>
      <c r="C416">
        <v>0.243932538050185</v>
      </c>
      <c r="D416" s="29" t="str">
        <f t="shared" si="12"/>
        <v>M</v>
      </c>
      <c r="E416" s="29" t="str">
        <f t="shared" si="13"/>
        <v>75_79</v>
      </c>
      <c r="F416" s="29">
        <f>VLOOKUP(A416,POPN!$A$1:$B$39,2,FALSE)*(1+GROWTH!C416)</f>
        <v>20788.600575894689</v>
      </c>
    </row>
    <row r="417" spans="1:6" x14ac:dyDescent="0.25">
      <c r="A417" t="s">
        <v>36</v>
      </c>
      <c r="B417">
        <v>2047</v>
      </c>
      <c r="C417">
        <v>0.23229970721320201</v>
      </c>
      <c r="D417" s="29" t="str">
        <f t="shared" si="12"/>
        <v>M</v>
      </c>
      <c r="E417" s="29" t="str">
        <f t="shared" si="13"/>
        <v>75_79</v>
      </c>
      <c r="F417" s="29">
        <f>VLOOKUP(A417,POPN!$A$1:$B$39,2,FALSE)*(1+GROWTH!C417)</f>
        <v>20594.192706947033</v>
      </c>
    </row>
    <row r="418" spans="1:6" x14ac:dyDescent="0.25">
      <c r="A418" t="s">
        <v>37</v>
      </c>
      <c r="B418">
        <v>2022</v>
      </c>
      <c r="C418">
        <v>-0.14013615776830399</v>
      </c>
      <c r="D418" s="29" t="str">
        <f t="shared" si="12"/>
        <v>M</v>
      </c>
      <c r="E418" s="29" t="str">
        <f t="shared" si="13"/>
        <v>80_84</v>
      </c>
      <c r="F418" s="29">
        <f>VLOOKUP(A418,POPN!$A$1:$B$39,2,FALSE)*(1+GROWTH!C418)</f>
        <v>9323.5036413182788</v>
      </c>
    </row>
    <row r="419" spans="1:6" x14ac:dyDescent="0.25">
      <c r="A419" t="s">
        <v>37</v>
      </c>
      <c r="B419">
        <v>2023</v>
      </c>
      <c r="C419">
        <v>-9.6487813215089299E-2</v>
      </c>
      <c r="D419" s="29" t="str">
        <f t="shared" si="12"/>
        <v>M</v>
      </c>
      <c r="E419" s="29" t="str">
        <f t="shared" si="13"/>
        <v>80_84</v>
      </c>
      <c r="F419" s="29">
        <f>VLOOKUP(A419,POPN!$A$1:$B$39,2,FALSE)*(1+GROWTH!C419)</f>
        <v>9796.7826413087878</v>
      </c>
    </row>
    <row r="420" spans="1:6" x14ac:dyDescent="0.25">
      <c r="A420" t="s">
        <v>37</v>
      </c>
      <c r="B420">
        <v>2024</v>
      </c>
      <c r="C420">
        <v>-4.9744110749247498E-2</v>
      </c>
      <c r="D420" s="29" t="str">
        <f t="shared" si="12"/>
        <v>M</v>
      </c>
      <c r="E420" s="29" t="str">
        <f t="shared" si="13"/>
        <v>80_84</v>
      </c>
      <c r="F420" s="29">
        <f>VLOOKUP(A420,POPN!$A$1:$B$39,2,FALSE)*(1+GROWTH!C420)</f>
        <v>10303.62460714591</v>
      </c>
    </row>
    <row r="421" spans="1:6" x14ac:dyDescent="0.25">
      <c r="A421" t="s">
        <v>37</v>
      </c>
      <c r="B421">
        <v>2025</v>
      </c>
      <c r="C421">
        <v>0</v>
      </c>
      <c r="D421" s="29" t="str">
        <f t="shared" si="12"/>
        <v>M</v>
      </c>
      <c r="E421" s="29" t="str">
        <f t="shared" si="13"/>
        <v>80_84</v>
      </c>
      <c r="F421" s="29">
        <f>VLOOKUP(A421,POPN!$A$1:$B$39,2,FALSE)*(1+GROWTH!C421)</f>
        <v>10843</v>
      </c>
    </row>
    <row r="422" spans="1:6" x14ac:dyDescent="0.25">
      <c r="A422" t="s">
        <v>37</v>
      </c>
      <c r="B422">
        <v>2026</v>
      </c>
      <c r="C422">
        <v>7.1677475099459695E-2</v>
      </c>
      <c r="D422" s="29" t="str">
        <f t="shared" si="12"/>
        <v>M</v>
      </c>
      <c r="E422" s="29" t="str">
        <f t="shared" si="13"/>
        <v>80_84</v>
      </c>
      <c r="F422" s="29">
        <f>VLOOKUP(A422,POPN!$A$1:$B$39,2,FALSE)*(1+GROWTH!C422)</f>
        <v>11620.198862503443</v>
      </c>
    </row>
    <row r="423" spans="1:6" x14ac:dyDescent="0.25">
      <c r="A423" t="s">
        <v>37</v>
      </c>
      <c r="B423">
        <v>2027</v>
      </c>
      <c r="C423">
        <v>0.17870469715815801</v>
      </c>
      <c r="D423" s="29" t="str">
        <f t="shared" si="12"/>
        <v>M</v>
      </c>
      <c r="E423" s="29" t="str">
        <f t="shared" si="13"/>
        <v>80_84</v>
      </c>
      <c r="F423" s="29">
        <f>VLOOKUP(A423,POPN!$A$1:$B$39,2,FALSE)*(1+GROWTH!C423)</f>
        <v>12780.695031285908</v>
      </c>
    </row>
    <row r="424" spans="1:6" x14ac:dyDescent="0.25">
      <c r="A424" t="s">
        <v>37</v>
      </c>
      <c r="B424">
        <v>2028</v>
      </c>
      <c r="C424">
        <v>0.246232873460629</v>
      </c>
      <c r="D424" s="29" t="str">
        <f t="shared" si="12"/>
        <v>M</v>
      </c>
      <c r="E424" s="29" t="str">
        <f t="shared" si="13"/>
        <v>80_84</v>
      </c>
      <c r="F424" s="29">
        <f>VLOOKUP(A424,POPN!$A$1:$B$39,2,FALSE)*(1+GROWTH!C424)</f>
        <v>13512.903046933599</v>
      </c>
    </row>
    <row r="425" spans="1:6" x14ac:dyDescent="0.25">
      <c r="A425" t="s">
        <v>37</v>
      </c>
      <c r="B425">
        <v>2029</v>
      </c>
      <c r="C425">
        <v>0.28450706899989597</v>
      </c>
      <c r="D425" s="29" t="str">
        <f t="shared" si="12"/>
        <v>M</v>
      </c>
      <c r="E425" s="29" t="str">
        <f t="shared" si="13"/>
        <v>80_84</v>
      </c>
      <c r="F425" s="29">
        <f>VLOOKUP(A425,POPN!$A$1:$B$39,2,FALSE)*(1+GROWTH!C425)</f>
        <v>13927.910149165873</v>
      </c>
    </row>
    <row r="426" spans="1:6" x14ac:dyDescent="0.25">
      <c r="A426" t="s">
        <v>37</v>
      </c>
      <c r="B426">
        <v>2030</v>
      </c>
      <c r="C426">
        <v>0.30017375782147598</v>
      </c>
      <c r="D426" s="29" t="str">
        <f t="shared" si="12"/>
        <v>M</v>
      </c>
      <c r="E426" s="29" t="str">
        <f t="shared" si="13"/>
        <v>80_84</v>
      </c>
      <c r="F426" s="29">
        <f>VLOOKUP(A426,POPN!$A$1:$B$39,2,FALSE)*(1+GROWTH!C426)</f>
        <v>14097.784056058264</v>
      </c>
    </row>
    <row r="427" spans="1:6" x14ac:dyDescent="0.25">
      <c r="A427" t="s">
        <v>37</v>
      </c>
      <c r="B427">
        <v>2031</v>
      </c>
      <c r="C427">
        <v>0.31446367701934103</v>
      </c>
      <c r="D427" s="29" t="str">
        <f t="shared" si="12"/>
        <v>M</v>
      </c>
      <c r="E427" s="29" t="str">
        <f t="shared" si="13"/>
        <v>80_84</v>
      </c>
      <c r="F427" s="29">
        <f>VLOOKUP(A427,POPN!$A$1:$B$39,2,FALSE)*(1+GROWTH!C427)</f>
        <v>14252.729649920715</v>
      </c>
    </row>
    <row r="428" spans="1:6" x14ac:dyDescent="0.25">
      <c r="A428" t="s">
        <v>37</v>
      </c>
      <c r="B428">
        <v>2032</v>
      </c>
      <c r="C428">
        <v>0.26592542656120899</v>
      </c>
      <c r="D428" s="29" t="str">
        <f t="shared" si="12"/>
        <v>M</v>
      </c>
      <c r="E428" s="29" t="str">
        <f t="shared" si="13"/>
        <v>80_84</v>
      </c>
      <c r="F428" s="29">
        <f>VLOOKUP(A428,POPN!$A$1:$B$39,2,FALSE)*(1+GROWTH!C428)</f>
        <v>13726.429400203189</v>
      </c>
    </row>
    <row r="429" spans="1:6" x14ac:dyDescent="0.25">
      <c r="A429" t="s">
        <v>37</v>
      </c>
      <c r="B429">
        <v>2033</v>
      </c>
      <c r="C429">
        <v>0.233870431735964</v>
      </c>
      <c r="D429" s="29" t="str">
        <f t="shared" si="12"/>
        <v>M</v>
      </c>
      <c r="E429" s="29" t="str">
        <f t="shared" si="13"/>
        <v>80_84</v>
      </c>
      <c r="F429" s="29">
        <f>VLOOKUP(A429,POPN!$A$1:$B$39,2,FALSE)*(1+GROWTH!C429)</f>
        <v>13378.857091313057</v>
      </c>
    </row>
    <row r="430" spans="1:6" x14ac:dyDescent="0.25">
      <c r="A430" t="s">
        <v>37</v>
      </c>
      <c r="B430">
        <v>2034</v>
      </c>
      <c r="C430">
        <v>0.21998879594375201</v>
      </c>
      <c r="D430" s="29" t="str">
        <f t="shared" si="12"/>
        <v>M</v>
      </c>
      <c r="E430" s="29" t="str">
        <f t="shared" si="13"/>
        <v>80_84</v>
      </c>
      <c r="F430" s="29">
        <f>VLOOKUP(A430,POPN!$A$1:$B$39,2,FALSE)*(1+GROWTH!C430)</f>
        <v>13228.338514418105</v>
      </c>
    </row>
    <row r="431" spans="1:6" x14ac:dyDescent="0.25">
      <c r="A431" t="s">
        <v>37</v>
      </c>
      <c r="B431">
        <v>2035</v>
      </c>
      <c r="C431">
        <v>0.21526030440851099</v>
      </c>
      <c r="D431" s="29" t="str">
        <f t="shared" si="12"/>
        <v>M</v>
      </c>
      <c r="E431" s="29" t="str">
        <f t="shared" si="13"/>
        <v>80_84</v>
      </c>
      <c r="F431" s="29">
        <f>VLOOKUP(A431,POPN!$A$1:$B$39,2,FALSE)*(1+GROWTH!C431)</f>
        <v>13177.067480701486</v>
      </c>
    </row>
    <row r="432" spans="1:6" x14ac:dyDescent="0.25">
      <c r="A432" t="s">
        <v>37</v>
      </c>
      <c r="B432">
        <v>2036</v>
      </c>
      <c r="C432">
        <v>0.217596065287365</v>
      </c>
      <c r="D432" s="29" t="str">
        <f t="shared" si="12"/>
        <v>M</v>
      </c>
      <c r="E432" s="29" t="str">
        <f t="shared" si="13"/>
        <v>80_84</v>
      </c>
      <c r="F432" s="29">
        <f>VLOOKUP(A432,POPN!$A$1:$B$39,2,FALSE)*(1+GROWTH!C432)</f>
        <v>13202.394135910898</v>
      </c>
    </row>
    <row r="433" spans="1:6" x14ac:dyDescent="0.25">
      <c r="A433" t="s">
        <v>37</v>
      </c>
      <c r="B433">
        <v>2037</v>
      </c>
      <c r="C433">
        <v>0.238959731862247</v>
      </c>
      <c r="D433" s="29" t="str">
        <f t="shared" si="12"/>
        <v>M</v>
      </c>
      <c r="E433" s="29" t="str">
        <f t="shared" si="13"/>
        <v>80_84</v>
      </c>
      <c r="F433" s="29">
        <f>VLOOKUP(A433,POPN!$A$1:$B$39,2,FALSE)*(1+GROWTH!C433)</f>
        <v>13434.040372582343</v>
      </c>
    </row>
    <row r="434" spans="1:6" x14ac:dyDescent="0.25">
      <c r="A434" t="s">
        <v>37</v>
      </c>
      <c r="B434">
        <v>2038</v>
      </c>
      <c r="C434">
        <v>0.26804280329285302</v>
      </c>
      <c r="D434" s="29" t="str">
        <f t="shared" si="12"/>
        <v>M</v>
      </c>
      <c r="E434" s="29" t="str">
        <f t="shared" si="13"/>
        <v>80_84</v>
      </c>
      <c r="F434" s="29">
        <f>VLOOKUP(A434,POPN!$A$1:$B$39,2,FALSE)*(1+GROWTH!C434)</f>
        <v>13749.388116104405</v>
      </c>
    </row>
    <row r="435" spans="1:6" x14ac:dyDescent="0.25">
      <c r="A435" t="s">
        <v>37</v>
      </c>
      <c r="B435">
        <v>2039</v>
      </c>
      <c r="C435">
        <v>0.30641194846134101</v>
      </c>
      <c r="D435" s="29" t="str">
        <f t="shared" si="12"/>
        <v>M</v>
      </c>
      <c r="E435" s="29" t="str">
        <f t="shared" si="13"/>
        <v>80_84</v>
      </c>
      <c r="F435" s="29">
        <f>VLOOKUP(A435,POPN!$A$1:$B$39,2,FALSE)*(1+GROWTH!C435)</f>
        <v>14165.42475716632</v>
      </c>
    </row>
    <row r="436" spans="1:6" x14ac:dyDescent="0.25">
      <c r="A436" t="s">
        <v>37</v>
      </c>
      <c r="B436">
        <v>2040</v>
      </c>
      <c r="C436">
        <v>0.352566963226009</v>
      </c>
      <c r="D436" s="29" t="str">
        <f t="shared" si="12"/>
        <v>M</v>
      </c>
      <c r="E436" s="29" t="str">
        <f t="shared" si="13"/>
        <v>80_84</v>
      </c>
      <c r="F436" s="29">
        <f>VLOOKUP(A436,POPN!$A$1:$B$39,2,FALSE)*(1+GROWTH!C436)</f>
        <v>14665.883582259617</v>
      </c>
    </row>
    <row r="437" spans="1:6" x14ac:dyDescent="0.25">
      <c r="A437" t="s">
        <v>37</v>
      </c>
      <c r="B437">
        <v>2041</v>
      </c>
      <c r="C437">
        <v>0.40407713707878001</v>
      </c>
      <c r="D437" s="29" t="str">
        <f t="shared" si="12"/>
        <v>M</v>
      </c>
      <c r="E437" s="29" t="str">
        <f t="shared" si="13"/>
        <v>80_84</v>
      </c>
      <c r="F437" s="29">
        <f>VLOOKUP(A437,POPN!$A$1:$B$39,2,FALSE)*(1+GROWTH!C437)</f>
        <v>15224.408397345211</v>
      </c>
    </row>
    <row r="438" spans="1:6" x14ac:dyDescent="0.25">
      <c r="A438" t="s">
        <v>37</v>
      </c>
      <c r="B438">
        <v>2042</v>
      </c>
      <c r="C438">
        <v>0.457704687663195</v>
      </c>
      <c r="D438" s="29" t="str">
        <f t="shared" si="12"/>
        <v>M</v>
      </c>
      <c r="E438" s="29" t="str">
        <f t="shared" si="13"/>
        <v>80_84</v>
      </c>
      <c r="F438" s="29">
        <f>VLOOKUP(A438,POPN!$A$1:$B$39,2,FALSE)*(1+GROWTH!C438)</f>
        <v>15805.891928332023</v>
      </c>
    </row>
    <row r="439" spans="1:6" x14ac:dyDescent="0.25">
      <c r="A439" t="s">
        <v>37</v>
      </c>
      <c r="B439">
        <v>2043</v>
      </c>
      <c r="C439">
        <v>0.50853122418556995</v>
      </c>
      <c r="D439" s="29" t="str">
        <f t="shared" si="12"/>
        <v>M</v>
      </c>
      <c r="E439" s="29" t="str">
        <f t="shared" si="13"/>
        <v>80_84</v>
      </c>
      <c r="F439" s="29">
        <f>VLOOKUP(A439,POPN!$A$1:$B$39,2,FALSE)*(1+GROWTH!C439)</f>
        <v>16357.004063844135</v>
      </c>
    </row>
    <row r="440" spans="1:6" x14ac:dyDescent="0.25">
      <c r="A440" t="s">
        <v>37</v>
      </c>
      <c r="B440">
        <v>2044</v>
      </c>
      <c r="C440">
        <v>0.56181695610478699</v>
      </c>
      <c r="D440" s="29" t="str">
        <f t="shared" si="12"/>
        <v>M</v>
      </c>
      <c r="E440" s="29" t="str">
        <f t="shared" si="13"/>
        <v>80_84</v>
      </c>
      <c r="F440" s="29">
        <f>VLOOKUP(A440,POPN!$A$1:$B$39,2,FALSE)*(1+GROWTH!C440)</f>
        <v>16934.781255044207</v>
      </c>
    </row>
    <row r="441" spans="1:6" x14ac:dyDescent="0.25">
      <c r="A441" t="s">
        <v>37</v>
      </c>
      <c r="B441">
        <v>2045</v>
      </c>
      <c r="C441">
        <v>0.61015581234155303</v>
      </c>
      <c r="D441" s="29" t="str">
        <f t="shared" si="12"/>
        <v>M</v>
      </c>
      <c r="E441" s="29" t="str">
        <f t="shared" si="13"/>
        <v>80_84</v>
      </c>
      <c r="F441" s="29">
        <f>VLOOKUP(A441,POPN!$A$1:$B$39,2,FALSE)*(1+GROWTH!C441)</f>
        <v>17458.919473219459</v>
      </c>
    </row>
    <row r="442" spans="1:6" x14ac:dyDescent="0.25">
      <c r="A442" t="s">
        <v>37</v>
      </c>
      <c r="B442">
        <v>2046</v>
      </c>
      <c r="C442">
        <v>0.64302737397810505</v>
      </c>
      <c r="D442" s="29" t="str">
        <f t="shared" si="12"/>
        <v>M</v>
      </c>
      <c r="E442" s="29" t="str">
        <f t="shared" si="13"/>
        <v>80_84</v>
      </c>
      <c r="F442" s="29">
        <f>VLOOKUP(A442,POPN!$A$1:$B$39,2,FALSE)*(1+GROWTH!C442)</f>
        <v>17815.345816044592</v>
      </c>
    </row>
    <row r="443" spans="1:6" x14ac:dyDescent="0.25">
      <c r="A443" t="s">
        <v>37</v>
      </c>
      <c r="B443">
        <v>2047</v>
      </c>
      <c r="C443">
        <v>0.66763831787236905</v>
      </c>
      <c r="D443" s="29" t="str">
        <f t="shared" si="12"/>
        <v>M</v>
      </c>
      <c r="E443" s="29" t="str">
        <f t="shared" si="13"/>
        <v>80_84</v>
      </c>
      <c r="F443" s="29">
        <f>VLOOKUP(A443,POPN!$A$1:$B$39,2,FALSE)*(1+GROWTH!C443)</f>
        <v>18082.202280690097</v>
      </c>
    </row>
    <row r="444" spans="1:6" x14ac:dyDescent="0.25">
      <c r="A444" t="s">
        <v>38</v>
      </c>
      <c r="B444">
        <v>2022</v>
      </c>
      <c r="C444">
        <v>-0.11341493013418399</v>
      </c>
      <c r="D444" s="29" t="str">
        <f t="shared" si="12"/>
        <v>M</v>
      </c>
      <c r="E444" s="29" t="str">
        <f t="shared" si="13"/>
        <v>85_89</v>
      </c>
      <c r="F444" s="29">
        <f>VLOOKUP(A444,POPN!$A$1:$B$39,2,FALSE)*(1+GROWTH!C444)</f>
        <v>4966.6495613883008</v>
      </c>
    </row>
    <row r="445" spans="1:6" x14ac:dyDescent="0.25">
      <c r="A445" t="s">
        <v>38</v>
      </c>
      <c r="B445">
        <v>2023</v>
      </c>
      <c r="C445">
        <v>-7.7077771228459394E-2</v>
      </c>
      <c r="D445" s="29" t="str">
        <f t="shared" si="12"/>
        <v>M</v>
      </c>
      <c r="E445" s="29" t="str">
        <f t="shared" si="13"/>
        <v>85_89</v>
      </c>
      <c r="F445" s="29">
        <f>VLOOKUP(A445,POPN!$A$1:$B$39,2,FALSE)*(1+GROWTH!C445)</f>
        <v>5170.2103255781703</v>
      </c>
    </row>
    <row r="446" spans="1:6" x14ac:dyDescent="0.25">
      <c r="A446" t="s">
        <v>38</v>
      </c>
      <c r="B446">
        <v>2024</v>
      </c>
      <c r="C446">
        <v>-3.7828091952428797E-2</v>
      </c>
      <c r="D446" s="29" t="str">
        <f t="shared" si="12"/>
        <v>M</v>
      </c>
      <c r="E446" s="29" t="str">
        <f t="shared" si="13"/>
        <v>85_89</v>
      </c>
      <c r="F446" s="29">
        <f>VLOOKUP(A446,POPN!$A$1:$B$39,2,FALSE)*(1+GROWTH!C446)</f>
        <v>5390.0870288824945</v>
      </c>
    </row>
    <row r="447" spans="1:6" x14ac:dyDescent="0.25">
      <c r="A447" t="s">
        <v>38</v>
      </c>
      <c r="B447">
        <v>2025</v>
      </c>
      <c r="C447">
        <v>0</v>
      </c>
      <c r="D447" s="29" t="str">
        <f t="shared" si="12"/>
        <v>M</v>
      </c>
      <c r="E447" s="29" t="str">
        <f t="shared" si="13"/>
        <v>85_89</v>
      </c>
      <c r="F447" s="29">
        <f>VLOOKUP(A447,POPN!$A$1:$B$39,2,FALSE)*(1+GROWTH!C447)</f>
        <v>5602</v>
      </c>
    </row>
    <row r="448" spans="1:6" x14ac:dyDescent="0.25">
      <c r="A448" t="s">
        <v>38</v>
      </c>
      <c r="B448">
        <v>2026</v>
      </c>
      <c r="C448">
        <v>-1.68163378523626E-3</v>
      </c>
      <c r="D448" s="29" t="str">
        <f t="shared" si="12"/>
        <v>M</v>
      </c>
      <c r="E448" s="29" t="str">
        <f t="shared" si="13"/>
        <v>85_89</v>
      </c>
      <c r="F448" s="29">
        <f>VLOOKUP(A448,POPN!$A$1:$B$39,2,FALSE)*(1+GROWTH!C448)</f>
        <v>5592.5794875351066</v>
      </c>
    </row>
    <row r="449" spans="1:6" x14ac:dyDescent="0.25">
      <c r="A449" t="s">
        <v>38</v>
      </c>
      <c r="B449">
        <v>2027</v>
      </c>
      <c r="C449">
        <v>3.8972296383620597E-2</v>
      </c>
      <c r="D449" s="29" t="str">
        <f t="shared" si="12"/>
        <v>M</v>
      </c>
      <c r="E449" s="29" t="str">
        <f t="shared" si="13"/>
        <v>85_89</v>
      </c>
      <c r="F449" s="29">
        <f>VLOOKUP(A449,POPN!$A$1:$B$39,2,FALSE)*(1+GROWTH!C449)</f>
        <v>5820.3228043410427</v>
      </c>
    </row>
    <row r="450" spans="1:6" x14ac:dyDescent="0.25">
      <c r="A450" t="s">
        <v>38</v>
      </c>
      <c r="B450">
        <v>2028</v>
      </c>
      <c r="C450">
        <v>0.102943725945702</v>
      </c>
      <c r="D450" s="29" t="str">
        <f t="shared" si="12"/>
        <v>M</v>
      </c>
      <c r="E450" s="29" t="str">
        <f t="shared" si="13"/>
        <v>85_89</v>
      </c>
      <c r="F450" s="29">
        <f>VLOOKUP(A450,POPN!$A$1:$B$39,2,FALSE)*(1+GROWTH!C450)</f>
        <v>6178.6907527478224</v>
      </c>
    </row>
    <row r="451" spans="1:6" x14ac:dyDescent="0.25">
      <c r="A451" t="s">
        <v>38</v>
      </c>
      <c r="B451">
        <v>2029</v>
      </c>
      <c r="C451">
        <v>0.17069449741687201</v>
      </c>
      <c r="D451" s="29" t="str">
        <f t="shared" ref="D451:D514" si="14">LEFT(A451,1)</f>
        <v>M</v>
      </c>
      <c r="E451" s="29" t="str">
        <f t="shared" ref="E451:E514" si="15">MID(A451,3,LEN(A451)-2)</f>
        <v>85_89</v>
      </c>
      <c r="F451" s="29">
        <f>VLOOKUP(A451,POPN!$A$1:$B$39,2,FALSE)*(1+GROWTH!C451)</f>
        <v>6558.230574529317</v>
      </c>
    </row>
    <row r="452" spans="1:6" x14ac:dyDescent="0.25">
      <c r="A452" t="s">
        <v>38</v>
      </c>
      <c r="B452">
        <v>2030</v>
      </c>
      <c r="C452">
        <v>0.24139246211989901</v>
      </c>
      <c r="D452" s="29" t="str">
        <f t="shared" si="14"/>
        <v>M</v>
      </c>
      <c r="E452" s="29" t="str">
        <f t="shared" si="15"/>
        <v>85_89</v>
      </c>
      <c r="F452" s="29">
        <f>VLOOKUP(A452,POPN!$A$1:$B$39,2,FALSE)*(1+GROWTH!C452)</f>
        <v>6954.2805727956747</v>
      </c>
    </row>
    <row r="453" spans="1:6" x14ac:dyDescent="0.25">
      <c r="A453" t="s">
        <v>38</v>
      </c>
      <c r="B453">
        <v>2031</v>
      </c>
      <c r="C453">
        <v>0.33256475156894699</v>
      </c>
      <c r="D453" s="29" t="str">
        <f t="shared" si="14"/>
        <v>M</v>
      </c>
      <c r="E453" s="29" t="str">
        <f t="shared" si="15"/>
        <v>85_89</v>
      </c>
      <c r="F453" s="29">
        <f>VLOOKUP(A453,POPN!$A$1:$B$39,2,FALSE)*(1+GROWTH!C453)</f>
        <v>7465.0277382892409</v>
      </c>
    </row>
    <row r="454" spans="1:6" x14ac:dyDescent="0.25">
      <c r="A454" t="s">
        <v>38</v>
      </c>
      <c r="B454">
        <v>2032</v>
      </c>
      <c r="C454">
        <v>0.47855483513054298</v>
      </c>
      <c r="D454" s="29" t="str">
        <f t="shared" si="14"/>
        <v>M</v>
      </c>
      <c r="E454" s="29" t="str">
        <f t="shared" si="15"/>
        <v>85_89</v>
      </c>
      <c r="F454" s="29">
        <f>VLOOKUP(A454,POPN!$A$1:$B$39,2,FALSE)*(1+GROWTH!C454)</f>
        <v>8282.8641864013007</v>
      </c>
    </row>
    <row r="455" spans="1:6" x14ac:dyDescent="0.25">
      <c r="A455" t="s">
        <v>38</v>
      </c>
      <c r="B455">
        <v>2033</v>
      </c>
      <c r="C455">
        <v>0.57303838285773701</v>
      </c>
      <c r="D455" s="29" t="str">
        <f t="shared" si="14"/>
        <v>M</v>
      </c>
      <c r="E455" s="29" t="str">
        <f t="shared" si="15"/>
        <v>85_89</v>
      </c>
      <c r="F455" s="29">
        <f>VLOOKUP(A455,POPN!$A$1:$B$39,2,FALSE)*(1+GROWTH!C455)</f>
        <v>8812.1610207690428</v>
      </c>
    </row>
    <row r="456" spans="1:6" x14ac:dyDescent="0.25">
      <c r="A456" t="s">
        <v>38</v>
      </c>
      <c r="B456">
        <v>2034</v>
      </c>
      <c r="C456">
        <v>0.62326202281474297</v>
      </c>
      <c r="D456" s="29" t="str">
        <f t="shared" si="14"/>
        <v>M</v>
      </c>
      <c r="E456" s="29" t="str">
        <f t="shared" si="15"/>
        <v>85_89</v>
      </c>
      <c r="F456" s="29">
        <f>VLOOKUP(A456,POPN!$A$1:$B$39,2,FALSE)*(1+GROWTH!C456)</f>
        <v>9093.5138518081894</v>
      </c>
    </row>
    <row r="457" spans="1:6" x14ac:dyDescent="0.25">
      <c r="A457" t="s">
        <v>38</v>
      </c>
      <c r="B457">
        <v>2035</v>
      </c>
      <c r="C457">
        <v>0.64096251863666298</v>
      </c>
      <c r="D457" s="29" t="str">
        <f t="shared" si="14"/>
        <v>M</v>
      </c>
      <c r="E457" s="29" t="str">
        <f t="shared" si="15"/>
        <v>85_89</v>
      </c>
      <c r="F457" s="29">
        <f>VLOOKUP(A457,POPN!$A$1:$B$39,2,FALSE)*(1+GROWTH!C457)</f>
        <v>9192.6720294025854</v>
      </c>
    </row>
    <row r="458" spans="1:6" x14ac:dyDescent="0.25">
      <c r="A458" t="s">
        <v>38</v>
      </c>
      <c r="B458">
        <v>2036</v>
      </c>
      <c r="C458">
        <v>0.65566381193439904</v>
      </c>
      <c r="D458" s="29" t="str">
        <f t="shared" si="14"/>
        <v>M</v>
      </c>
      <c r="E458" s="29" t="str">
        <f t="shared" si="15"/>
        <v>85_89</v>
      </c>
      <c r="F458" s="29">
        <f>VLOOKUP(A458,POPN!$A$1:$B$39,2,FALSE)*(1+GROWTH!C458)</f>
        <v>9275.0286744565037</v>
      </c>
    </row>
    <row r="459" spans="1:6" x14ac:dyDescent="0.25">
      <c r="A459" t="s">
        <v>38</v>
      </c>
      <c r="B459">
        <v>2037</v>
      </c>
      <c r="C459">
        <v>0.60004854200617197</v>
      </c>
      <c r="D459" s="29" t="str">
        <f t="shared" si="14"/>
        <v>M</v>
      </c>
      <c r="E459" s="29" t="str">
        <f t="shared" si="15"/>
        <v>85_89</v>
      </c>
      <c r="F459" s="29">
        <f>VLOOKUP(A459,POPN!$A$1:$B$39,2,FALSE)*(1+GROWTH!C459)</f>
        <v>8963.4719323185764</v>
      </c>
    </row>
    <row r="460" spans="1:6" x14ac:dyDescent="0.25">
      <c r="A460" t="s">
        <v>38</v>
      </c>
      <c r="B460">
        <v>2038</v>
      </c>
      <c r="C460">
        <v>0.56452619534690196</v>
      </c>
      <c r="D460" s="29" t="str">
        <f t="shared" si="14"/>
        <v>M</v>
      </c>
      <c r="E460" s="29" t="str">
        <f t="shared" si="15"/>
        <v>85_89</v>
      </c>
      <c r="F460" s="29">
        <f>VLOOKUP(A460,POPN!$A$1:$B$39,2,FALSE)*(1+GROWTH!C460)</f>
        <v>8764.4757463333463</v>
      </c>
    </row>
    <row r="461" spans="1:6" x14ac:dyDescent="0.25">
      <c r="A461" t="s">
        <v>38</v>
      </c>
      <c r="B461">
        <v>2039</v>
      </c>
      <c r="C461">
        <v>0.55202662875767095</v>
      </c>
      <c r="D461" s="29" t="str">
        <f t="shared" si="14"/>
        <v>M</v>
      </c>
      <c r="E461" s="29" t="str">
        <f t="shared" si="15"/>
        <v>85_89</v>
      </c>
      <c r="F461" s="29">
        <f>VLOOKUP(A461,POPN!$A$1:$B$39,2,FALSE)*(1+GROWTH!C461)</f>
        <v>8694.4531743004718</v>
      </c>
    </row>
    <row r="462" spans="1:6" x14ac:dyDescent="0.25">
      <c r="A462" t="s">
        <v>38</v>
      </c>
      <c r="B462">
        <v>2040</v>
      </c>
      <c r="C462">
        <v>0.55084775146492804</v>
      </c>
      <c r="D462" s="29" t="str">
        <f t="shared" si="14"/>
        <v>M</v>
      </c>
      <c r="E462" s="29" t="str">
        <f t="shared" si="15"/>
        <v>85_89</v>
      </c>
      <c r="F462" s="29">
        <f>VLOOKUP(A462,POPN!$A$1:$B$39,2,FALSE)*(1+GROWTH!C462)</f>
        <v>8687.8491037065269</v>
      </c>
    </row>
    <row r="463" spans="1:6" x14ac:dyDescent="0.25">
      <c r="A463" t="s">
        <v>38</v>
      </c>
      <c r="B463">
        <v>2041</v>
      </c>
      <c r="C463">
        <v>0.562064422176762</v>
      </c>
      <c r="D463" s="29" t="str">
        <f t="shared" si="14"/>
        <v>M</v>
      </c>
      <c r="E463" s="29" t="str">
        <f t="shared" si="15"/>
        <v>85_89</v>
      </c>
      <c r="F463" s="29">
        <f>VLOOKUP(A463,POPN!$A$1:$B$39,2,FALSE)*(1+GROWTH!C463)</f>
        <v>8750.6848930342203</v>
      </c>
    </row>
    <row r="464" spans="1:6" x14ac:dyDescent="0.25">
      <c r="A464" t="s">
        <v>38</v>
      </c>
      <c r="B464">
        <v>2042</v>
      </c>
      <c r="C464">
        <v>0.59692798446655804</v>
      </c>
      <c r="D464" s="29" t="str">
        <f t="shared" si="14"/>
        <v>M</v>
      </c>
      <c r="E464" s="29" t="str">
        <f t="shared" si="15"/>
        <v>85_89</v>
      </c>
      <c r="F464" s="29">
        <f>VLOOKUP(A464,POPN!$A$1:$B$39,2,FALSE)*(1+GROWTH!C464)</f>
        <v>8945.9905689816587</v>
      </c>
    </row>
    <row r="465" spans="1:6" x14ac:dyDescent="0.25">
      <c r="A465" t="s">
        <v>38</v>
      </c>
      <c r="B465">
        <v>2043</v>
      </c>
      <c r="C465">
        <v>0.64236676952948901</v>
      </c>
      <c r="D465" s="29" t="str">
        <f t="shared" si="14"/>
        <v>M</v>
      </c>
      <c r="E465" s="29" t="str">
        <f t="shared" si="15"/>
        <v>85_89</v>
      </c>
      <c r="F465" s="29">
        <f>VLOOKUP(A465,POPN!$A$1:$B$39,2,FALSE)*(1+GROWTH!C465)</f>
        <v>9200.5386429041973</v>
      </c>
    </row>
    <row r="466" spans="1:6" x14ac:dyDescent="0.25">
      <c r="A466" t="s">
        <v>38</v>
      </c>
      <c r="B466">
        <v>2044</v>
      </c>
      <c r="C466">
        <v>0.69978502825838196</v>
      </c>
      <c r="D466" s="29" t="str">
        <f t="shared" si="14"/>
        <v>M</v>
      </c>
      <c r="E466" s="29" t="str">
        <f t="shared" si="15"/>
        <v>85_89</v>
      </c>
      <c r="F466" s="29">
        <f>VLOOKUP(A466,POPN!$A$1:$B$39,2,FALSE)*(1+GROWTH!C466)</f>
        <v>9522.1957283034553</v>
      </c>
    </row>
    <row r="467" spans="1:6" x14ac:dyDescent="0.25">
      <c r="A467" t="s">
        <v>38</v>
      </c>
      <c r="B467">
        <v>2045</v>
      </c>
      <c r="C467">
        <v>0.76552477375957795</v>
      </c>
      <c r="D467" s="29" t="str">
        <f t="shared" si="14"/>
        <v>M</v>
      </c>
      <c r="E467" s="29" t="str">
        <f t="shared" si="15"/>
        <v>85_89</v>
      </c>
      <c r="F467" s="29">
        <f>VLOOKUP(A467,POPN!$A$1:$B$39,2,FALSE)*(1+GROWTH!C467)</f>
        <v>9890.4697826011543</v>
      </c>
    </row>
    <row r="468" spans="1:6" x14ac:dyDescent="0.25">
      <c r="A468" t="s">
        <v>38</v>
      </c>
      <c r="B468">
        <v>2046</v>
      </c>
      <c r="C468">
        <v>0.83934329600221902</v>
      </c>
      <c r="D468" s="29" t="str">
        <f t="shared" si="14"/>
        <v>M</v>
      </c>
      <c r="E468" s="29" t="str">
        <f t="shared" si="15"/>
        <v>85_89</v>
      </c>
      <c r="F468" s="29">
        <f>VLOOKUP(A468,POPN!$A$1:$B$39,2,FALSE)*(1+GROWTH!C468)</f>
        <v>10304.001144204432</v>
      </c>
    </row>
    <row r="469" spans="1:6" x14ac:dyDescent="0.25">
      <c r="A469" t="s">
        <v>38</v>
      </c>
      <c r="B469">
        <v>2047</v>
      </c>
      <c r="C469">
        <v>0.91628237578447402</v>
      </c>
      <c r="D469" s="29" t="str">
        <f t="shared" si="14"/>
        <v>M</v>
      </c>
      <c r="E469" s="29" t="str">
        <f t="shared" si="15"/>
        <v>85_89</v>
      </c>
      <c r="F469" s="29">
        <f>VLOOKUP(A469,POPN!$A$1:$B$39,2,FALSE)*(1+GROWTH!C469)</f>
        <v>10735.013869144623</v>
      </c>
    </row>
    <row r="470" spans="1:6" x14ac:dyDescent="0.25">
      <c r="A470" t="s">
        <v>39</v>
      </c>
      <c r="B470">
        <v>2022</v>
      </c>
      <c r="C470">
        <v>-6.7319905643258904E-2</v>
      </c>
      <c r="D470" s="29" t="str">
        <f t="shared" si="14"/>
        <v>M</v>
      </c>
      <c r="E470" s="29" t="str">
        <f t="shared" si="15"/>
        <v>90_PLUS</v>
      </c>
      <c r="F470" s="29">
        <f>VLOOKUP(A470,POPN!$A$1:$B$39,2,FALSE)*(1+GROWTH!C470)</f>
        <v>2495.8519324986391</v>
      </c>
    </row>
    <row r="471" spans="1:6" x14ac:dyDescent="0.25">
      <c r="A471" t="s">
        <v>39</v>
      </c>
      <c r="B471">
        <v>2023</v>
      </c>
      <c r="C471">
        <v>-5.7811649428415997E-2</v>
      </c>
      <c r="D471" s="29" t="str">
        <f t="shared" si="14"/>
        <v>M</v>
      </c>
      <c r="E471" s="29" t="str">
        <f t="shared" si="15"/>
        <v>90_PLUS</v>
      </c>
      <c r="F471" s="29">
        <f>VLOOKUP(A471,POPN!$A$1:$B$39,2,FALSE)*(1+GROWTH!C471)</f>
        <v>2521.2960261295589</v>
      </c>
    </row>
    <row r="472" spans="1:6" x14ac:dyDescent="0.25">
      <c r="A472" t="s">
        <v>39</v>
      </c>
      <c r="B472">
        <v>2024</v>
      </c>
      <c r="C472">
        <v>-3.2625657775358398E-2</v>
      </c>
      <c r="D472" s="29" t="str">
        <f t="shared" si="14"/>
        <v>M</v>
      </c>
      <c r="E472" s="29" t="str">
        <f t="shared" si="15"/>
        <v>90_PLUS</v>
      </c>
      <c r="F472" s="29">
        <f>VLOOKUP(A472,POPN!$A$1:$B$39,2,FALSE)*(1+GROWTH!C472)</f>
        <v>2588.693739793141</v>
      </c>
    </row>
    <row r="473" spans="1:6" x14ac:dyDescent="0.25">
      <c r="A473" t="s">
        <v>39</v>
      </c>
      <c r="B473">
        <v>2025</v>
      </c>
      <c r="C473">
        <v>0</v>
      </c>
      <c r="D473" s="29" t="str">
        <f t="shared" si="14"/>
        <v>M</v>
      </c>
      <c r="E473" s="29" t="str">
        <f t="shared" si="15"/>
        <v>90_PLUS</v>
      </c>
      <c r="F473" s="29">
        <f>VLOOKUP(A473,POPN!$A$1:$B$39,2,FALSE)*(1+GROWTH!C473)</f>
        <v>2676</v>
      </c>
    </row>
    <row r="474" spans="1:6" x14ac:dyDescent="0.25">
      <c r="A474" t="s">
        <v>39</v>
      </c>
      <c r="B474">
        <v>2026</v>
      </c>
      <c r="C474">
        <v>4.54726909816731E-2</v>
      </c>
      <c r="D474" s="29" t="str">
        <f t="shared" si="14"/>
        <v>M</v>
      </c>
      <c r="E474" s="29" t="str">
        <f t="shared" si="15"/>
        <v>90_PLUS</v>
      </c>
      <c r="F474" s="29">
        <f>VLOOKUP(A474,POPN!$A$1:$B$39,2,FALSE)*(1+GROWTH!C474)</f>
        <v>2797.6849210669575</v>
      </c>
    </row>
    <row r="475" spans="1:6" x14ac:dyDescent="0.25">
      <c r="A475" t="s">
        <v>39</v>
      </c>
      <c r="B475">
        <v>2027</v>
      </c>
      <c r="C475">
        <v>9.3086554164398497E-2</v>
      </c>
      <c r="D475" s="29" t="str">
        <f t="shared" si="14"/>
        <v>M</v>
      </c>
      <c r="E475" s="29" t="str">
        <f t="shared" si="15"/>
        <v>90_PLUS</v>
      </c>
      <c r="F475" s="29">
        <f>VLOOKUP(A475,POPN!$A$1:$B$39,2,FALSE)*(1+GROWTH!C475)</f>
        <v>2925.0996189439306</v>
      </c>
    </row>
    <row r="476" spans="1:6" x14ac:dyDescent="0.25">
      <c r="A476" t="s">
        <v>39</v>
      </c>
      <c r="B476">
        <v>2028</v>
      </c>
      <c r="C476">
        <v>0.14661585919070899</v>
      </c>
      <c r="D476" s="29" t="str">
        <f t="shared" si="14"/>
        <v>M</v>
      </c>
      <c r="E476" s="29" t="str">
        <f t="shared" si="15"/>
        <v>90_PLUS</v>
      </c>
      <c r="F476" s="29">
        <f>VLOOKUP(A476,POPN!$A$1:$B$39,2,FALSE)*(1+GROWTH!C476)</f>
        <v>3068.3440391943373</v>
      </c>
    </row>
    <row r="477" spans="1:6" x14ac:dyDescent="0.25">
      <c r="A477" t="s">
        <v>39</v>
      </c>
      <c r="B477">
        <v>2029</v>
      </c>
      <c r="C477">
        <v>0.2</v>
      </c>
      <c r="D477" s="29" t="str">
        <f t="shared" si="14"/>
        <v>M</v>
      </c>
      <c r="E477" s="29" t="str">
        <f t="shared" si="15"/>
        <v>90_PLUS</v>
      </c>
      <c r="F477" s="29">
        <f>VLOOKUP(A477,POPN!$A$1:$B$39,2,FALSE)*(1+GROWTH!C477)</f>
        <v>3211.2</v>
      </c>
    </row>
    <row r="478" spans="1:6" x14ac:dyDescent="0.25">
      <c r="A478" t="s">
        <v>39</v>
      </c>
      <c r="B478">
        <v>2030</v>
      </c>
      <c r="C478">
        <v>0.25095264017419699</v>
      </c>
      <c r="D478" s="29" t="str">
        <f t="shared" si="14"/>
        <v>M</v>
      </c>
      <c r="E478" s="29" t="str">
        <f t="shared" si="15"/>
        <v>90_PLUS</v>
      </c>
      <c r="F478" s="29">
        <f>VLOOKUP(A478,POPN!$A$1:$B$39,2,FALSE)*(1+GROWTH!C478)</f>
        <v>3347.5492651061513</v>
      </c>
    </row>
    <row r="479" spans="1:6" x14ac:dyDescent="0.25">
      <c r="A479" t="s">
        <v>39</v>
      </c>
      <c r="B479">
        <v>2031</v>
      </c>
      <c r="C479">
        <v>0.26568680820177798</v>
      </c>
      <c r="D479" s="29" t="str">
        <f t="shared" si="14"/>
        <v>M</v>
      </c>
      <c r="E479" s="29" t="str">
        <f t="shared" si="15"/>
        <v>90_PLUS</v>
      </c>
      <c r="F479" s="29">
        <f>VLOOKUP(A479,POPN!$A$1:$B$39,2,FALSE)*(1+GROWTH!C479)</f>
        <v>3386.9778987479581</v>
      </c>
    </row>
    <row r="480" spans="1:6" x14ac:dyDescent="0.25">
      <c r="A480" t="s">
        <v>39</v>
      </c>
      <c r="B480">
        <v>2032</v>
      </c>
      <c r="C480">
        <v>0.328216294683361</v>
      </c>
      <c r="D480" s="29" t="str">
        <f t="shared" si="14"/>
        <v>M</v>
      </c>
      <c r="E480" s="29" t="str">
        <f t="shared" si="15"/>
        <v>90_PLUS</v>
      </c>
      <c r="F480" s="29">
        <f>VLOOKUP(A480,POPN!$A$1:$B$39,2,FALSE)*(1+GROWTH!C480)</f>
        <v>3554.3068045726745</v>
      </c>
    </row>
    <row r="481" spans="1:6" x14ac:dyDescent="0.25">
      <c r="A481" t="s">
        <v>39</v>
      </c>
      <c r="B481">
        <v>2033</v>
      </c>
      <c r="C481">
        <v>0.419706042460534</v>
      </c>
      <c r="D481" s="29" t="str">
        <f t="shared" si="14"/>
        <v>M</v>
      </c>
      <c r="E481" s="29" t="str">
        <f t="shared" si="15"/>
        <v>90_PLUS</v>
      </c>
      <c r="F481" s="29">
        <f>VLOOKUP(A481,POPN!$A$1:$B$39,2,FALSE)*(1+GROWTH!C481)</f>
        <v>3799.1333696243887</v>
      </c>
    </row>
    <row r="482" spans="1:6" x14ac:dyDescent="0.25">
      <c r="A482" t="s">
        <v>39</v>
      </c>
      <c r="B482">
        <v>2034</v>
      </c>
      <c r="C482">
        <v>0.51765559789511895</v>
      </c>
      <c r="D482" s="29" t="str">
        <f t="shared" si="14"/>
        <v>M</v>
      </c>
      <c r="E482" s="29" t="str">
        <f t="shared" si="15"/>
        <v>90_PLUS</v>
      </c>
      <c r="F482" s="29">
        <f>VLOOKUP(A482,POPN!$A$1:$B$39,2,FALSE)*(1+GROWTH!C482)</f>
        <v>4061.2463799673383</v>
      </c>
    </row>
    <row r="483" spans="1:6" x14ac:dyDescent="0.25">
      <c r="A483" t="s">
        <v>39</v>
      </c>
      <c r="B483">
        <v>2035</v>
      </c>
      <c r="C483">
        <v>0.61702050444565404</v>
      </c>
      <c r="D483" s="29" t="str">
        <f t="shared" si="14"/>
        <v>M</v>
      </c>
      <c r="E483" s="29" t="str">
        <f t="shared" si="15"/>
        <v>90_PLUS</v>
      </c>
      <c r="F483" s="29">
        <f>VLOOKUP(A483,POPN!$A$1:$B$39,2,FALSE)*(1+GROWTH!C483)</f>
        <v>4327.14686989657</v>
      </c>
    </row>
    <row r="484" spans="1:6" x14ac:dyDescent="0.25">
      <c r="A484" t="s">
        <v>39</v>
      </c>
      <c r="B484">
        <v>2036</v>
      </c>
      <c r="C484">
        <v>0.71783705316639401</v>
      </c>
      <c r="D484" s="29" t="str">
        <f t="shared" si="14"/>
        <v>M</v>
      </c>
      <c r="E484" s="29" t="str">
        <f t="shared" si="15"/>
        <v>90_PLUS</v>
      </c>
      <c r="F484" s="29">
        <f>VLOOKUP(A484,POPN!$A$1:$B$39,2,FALSE)*(1+GROWTH!C484)</f>
        <v>4596.9319542732701</v>
      </c>
    </row>
    <row r="485" spans="1:6" x14ac:dyDescent="0.25">
      <c r="A485" t="s">
        <v>39</v>
      </c>
      <c r="B485">
        <v>2037</v>
      </c>
      <c r="C485">
        <v>0.91282888767918702</v>
      </c>
      <c r="D485" s="29" t="str">
        <f t="shared" si="14"/>
        <v>M</v>
      </c>
      <c r="E485" s="29" t="str">
        <f t="shared" si="15"/>
        <v>90_PLUS</v>
      </c>
      <c r="F485" s="29">
        <f>VLOOKUP(A485,POPN!$A$1:$B$39,2,FALSE)*(1+GROWTH!C485)</f>
        <v>5118.7301034295042</v>
      </c>
    </row>
    <row r="486" spans="1:6" x14ac:dyDescent="0.25">
      <c r="A486" t="s">
        <v>39</v>
      </c>
      <c r="B486">
        <v>2038</v>
      </c>
      <c r="C486">
        <v>1.05577935039013</v>
      </c>
      <c r="D486" s="29" t="str">
        <f t="shared" si="14"/>
        <v>M</v>
      </c>
      <c r="E486" s="29" t="str">
        <f t="shared" si="15"/>
        <v>90_PLUS</v>
      </c>
      <c r="F486" s="29">
        <f>VLOOKUP(A486,POPN!$A$1:$B$39,2,FALSE)*(1+GROWTH!C486)</f>
        <v>5501.2655416439884</v>
      </c>
    </row>
    <row r="487" spans="1:6" x14ac:dyDescent="0.25">
      <c r="A487" t="s">
        <v>39</v>
      </c>
      <c r="B487">
        <v>2039</v>
      </c>
      <c r="C487">
        <v>1.1412084921067001</v>
      </c>
      <c r="D487" s="29" t="str">
        <f t="shared" si="14"/>
        <v>M</v>
      </c>
      <c r="E487" s="29" t="str">
        <f t="shared" si="15"/>
        <v>90_PLUS</v>
      </c>
      <c r="F487" s="29">
        <f>VLOOKUP(A487,POPN!$A$1:$B$39,2,FALSE)*(1+GROWTH!C487)</f>
        <v>5729.8739248775291</v>
      </c>
    </row>
    <row r="488" spans="1:6" x14ac:dyDescent="0.25">
      <c r="A488" t="s">
        <v>39</v>
      </c>
      <c r="B488">
        <v>2040</v>
      </c>
      <c r="C488">
        <v>1.1868263473053899</v>
      </c>
      <c r="D488" s="29" t="str">
        <f t="shared" si="14"/>
        <v>M</v>
      </c>
      <c r="E488" s="29" t="str">
        <f t="shared" si="15"/>
        <v>90_PLUS</v>
      </c>
      <c r="F488" s="29">
        <f>VLOOKUP(A488,POPN!$A$1:$B$39,2,FALSE)*(1+GROWTH!C488)</f>
        <v>5851.9473053892225</v>
      </c>
    </row>
    <row r="489" spans="1:6" x14ac:dyDescent="0.25">
      <c r="A489" t="s">
        <v>39</v>
      </c>
      <c r="B489">
        <v>2041</v>
      </c>
      <c r="C489">
        <v>1.2295409181636701</v>
      </c>
      <c r="D489" s="29" t="str">
        <f t="shared" si="14"/>
        <v>M</v>
      </c>
      <c r="E489" s="29" t="str">
        <f t="shared" si="15"/>
        <v>90_PLUS</v>
      </c>
      <c r="F489" s="29">
        <f>VLOOKUP(A489,POPN!$A$1:$B$39,2,FALSE)*(1+GROWTH!C489)</f>
        <v>5966.251497005981</v>
      </c>
    </row>
    <row r="490" spans="1:6" x14ac:dyDescent="0.25">
      <c r="A490" t="s">
        <v>39</v>
      </c>
      <c r="B490">
        <v>2042</v>
      </c>
      <c r="C490">
        <v>1.2440936309199799</v>
      </c>
      <c r="D490" s="29" t="str">
        <f t="shared" si="14"/>
        <v>M</v>
      </c>
      <c r="E490" s="29" t="str">
        <f t="shared" si="15"/>
        <v>90_PLUS</v>
      </c>
      <c r="F490" s="29">
        <f>VLOOKUP(A490,POPN!$A$1:$B$39,2,FALSE)*(1+GROWTH!C490)</f>
        <v>6005.1945563418658</v>
      </c>
    </row>
    <row r="491" spans="1:6" x14ac:dyDescent="0.25">
      <c r="A491" t="s">
        <v>39</v>
      </c>
      <c r="B491">
        <v>2043</v>
      </c>
      <c r="C491">
        <v>1.2614407548539299</v>
      </c>
      <c r="D491" s="29" t="str">
        <f t="shared" si="14"/>
        <v>M</v>
      </c>
      <c r="E491" s="29" t="str">
        <f t="shared" si="15"/>
        <v>90_PLUS</v>
      </c>
      <c r="F491" s="29">
        <f>VLOOKUP(A491,POPN!$A$1:$B$39,2,FALSE)*(1+GROWTH!C491)</f>
        <v>6051.6154599891161</v>
      </c>
    </row>
    <row r="492" spans="1:6" x14ac:dyDescent="0.25">
      <c r="A492" t="s">
        <v>39</v>
      </c>
      <c r="B492">
        <v>2044</v>
      </c>
      <c r="C492">
        <v>1.2819089094538201</v>
      </c>
      <c r="D492" s="29" t="str">
        <f t="shared" si="14"/>
        <v>M</v>
      </c>
      <c r="E492" s="29" t="str">
        <f t="shared" si="15"/>
        <v>90_PLUS</v>
      </c>
      <c r="F492" s="29">
        <f>VLOOKUP(A492,POPN!$A$1:$B$39,2,FALSE)*(1+GROWTH!C492)</f>
        <v>6106.3882416984234</v>
      </c>
    </row>
    <row r="493" spans="1:6" x14ac:dyDescent="0.25">
      <c r="A493" t="s">
        <v>39</v>
      </c>
      <c r="B493">
        <v>2045</v>
      </c>
      <c r="C493">
        <v>1.3006713845037201</v>
      </c>
      <c r="D493" s="29" t="str">
        <f t="shared" si="14"/>
        <v>M</v>
      </c>
      <c r="E493" s="29" t="str">
        <f t="shared" si="15"/>
        <v>90_PLUS</v>
      </c>
      <c r="F493" s="29">
        <f>VLOOKUP(A493,POPN!$A$1:$B$39,2,FALSE)*(1+GROWTH!C493)</f>
        <v>6156.5966249319545</v>
      </c>
    </row>
    <row r="494" spans="1:6" x14ac:dyDescent="0.25">
      <c r="A494" t="s">
        <v>39</v>
      </c>
      <c r="B494">
        <v>2046</v>
      </c>
      <c r="C494">
        <v>1.3403737978588299</v>
      </c>
      <c r="D494" s="29" t="str">
        <f t="shared" si="14"/>
        <v>M</v>
      </c>
      <c r="E494" s="29" t="str">
        <f t="shared" si="15"/>
        <v>90_PLUS</v>
      </c>
      <c r="F494" s="29">
        <f>VLOOKUP(A494,POPN!$A$1:$B$39,2,FALSE)*(1+GROWTH!C494)</f>
        <v>6262.8402830702298</v>
      </c>
    </row>
    <row r="495" spans="1:6" x14ac:dyDescent="0.25">
      <c r="A495" t="s">
        <v>39</v>
      </c>
      <c r="B495">
        <v>2047</v>
      </c>
      <c r="C495">
        <v>1.39793140990746</v>
      </c>
      <c r="D495" s="29" t="str">
        <f t="shared" si="14"/>
        <v>M</v>
      </c>
      <c r="E495" s="29" t="str">
        <f t="shared" si="15"/>
        <v>90_PLUS</v>
      </c>
      <c r="F495" s="29">
        <f>VLOOKUP(A495,POPN!$A$1:$B$39,2,FALSE)*(1+GROWTH!C495)</f>
        <v>6416.8644529123621</v>
      </c>
    </row>
    <row r="496" spans="1:6" x14ac:dyDescent="0.25">
      <c r="A496" t="s">
        <v>2</v>
      </c>
      <c r="B496">
        <v>2022</v>
      </c>
      <c r="C496">
        <v>6.7532825640900906E-2</v>
      </c>
      <c r="D496" s="29" t="str">
        <f t="shared" si="14"/>
        <v>F</v>
      </c>
      <c r="E496" s="29" t="str">
        <f t="shared" si="15"/>
        <v>00_04</v>
      </c>
      <c r="F496" s="29">
        <f>VLOOKUP(A496,POPN!$A$1:$B$39,2,FALSE)*(1+GROWTH!C496)</f>
        <v>12718.586084685694</v>
      </c>
    </row>
    <row r="497" spans="1:6" x14ac:dyDescent="0.25">
      <c r="A497" t="s">
        <v>2</v>
      </c>
      <c r="B497">
        <v>2023</v>
      </c>
      <c r="C497">
        <v>4.2545599052740003E-2</v>
      </c>
      <c r="D497" s="29" t="str">
        <f t="shared" si="14"/>
        <v>F</v>
      </c>
      <c r="E497" s="29" t="str">
        <f t="shared" si="15"/>
        <v>00_04</v>
      </c>
      <c r="F497" s="29">
        <f>VLOOKUP(A497,POPN!$A$1:$B$39,2,FALSE)*(1+GROWTH!C497)</f>
        <v>12420.888267114344</v>
      </c>
    </row>
    <row r="498" spans="1:6" x14ac:dyDescent="0.25">
      <c r="A498" t="s">
        <v>2</v>
      </c>
      <c r="B498">
        <v>2024</v>
      </c>
      <c r="C498">
        <v>2.3632839428075699E-2</v>
      </c>
      <c r="D498" s="29" t="str">
        <f t="shared" si="14"/>
        <v>F</v>
      </c>
      <c r="E498" s="29" t="str">
        <f t="shared" si="15"/>
        <v>00_04</v>
      </c>
      <c r="F498" s="29">
        <f>VLOOKUP(A498,POPN!$A$1:$B$39,2,FALSE)*(1+GROWTH!C498)</f>
        <v>12195.561648946092</v>
      </c>
    </row>
    <row r="499" spans="1:6" x14ac:dyDescent="0.25">
      <c r="A499" t="s">
        <v>2</v>
      </c>
      <c r="B499">
        <v>2025</v>
      </c>
      <c r="C499">
        <v>0</v>
      </c>
      <c r="D499" s="29" t="str">
        <f t="shared" si="14"/>
        <v>F</v>
      </c>
      <c r="E499" s="29" t="str">
        <f t="shared" si="15"/>
        <v>00_04</v>
      </c>
      <c r="F499" s="29">
        <f>VLOOKUP(A499,POPN!$A$1:$B$39,2,FALSE)*(1+GROWTH!C499)</f>
        <v>11914</v>
      </c>
    </row>
    <row r="500" spans="1:6" x14ac:dyDescent="0.25">
      <c r="A500" t="s">
        <v>2</v>
      </c>
      <c r="B500">
        <v>2026</v>
      </c>
      <c r="C500">
        <v>-1.18894106388327E-2</v>
      </c>
      <c r="D500" s="29" t="str">
        <f t="shared" si="14"/>
        <v>F</v>
      </c>
      <c r="E500" s="29" t="str">
        <f t="shared" si="15"/>
        <v>00_04</v>
      </c>
      <c r="F500" s="29">
        <f>VLOOKUP(A500,POPN!$A$1:$B$39,2,FALSE)*(1+GROWTH!C500)</f>
        <v>11772.349561648947</v>
      </c>
    </row>
    <row r="501" spans="1:6" x14ac:dyDescent="0.25">
      <c r="A501" t="s">
        <v>2</v>
      </c>
      <c r="B501">
        <v>2027</v>
      </c>
      <c r="C501">
        <v>-2.4930455868875798E-2</v>
      </c>
      <c r="D501" s="29" t="str">
        <f t="shared" si="14"/>
        <v>F</v>
      </c>
      <c r="E501" s="29" t="str">
        <f t="shared" si="15"/>
        <v>00_04</v>
      </c>
      <c r="F501" s="29">
        <f>VLOOKUP(A501,POPN!$A$1:$B$39,2,FALSE)*(1+GROWTH!C501)</f>
        <v>11616.978548778214</v>
      </c>
    </row>
    <row r="502" spans="1:6" x14ac:dyDescent="0.25">
      <c r="A502" t="s">
        <v>2</v>
      </c>
      <c r="B502">
        <v>2028</v>
      </c>
      <c r="C502">
        <v>-2.7874423168941499E-2</v>
      </c>
      <c r="D502" s="29" t="str">
        <f t="shared" si="14"/>
        <v>F</v>
      </c>
      <c r="E502" s="29" t="str">
        <f t="shared" si="15"/>
        <v>00_04</v>
      </c>
      <c r="F502" s="29">
        <f>VLOOKUP(A502,POPN!$A$1:$B$39,2,FALSE)*(1+GROWTH!C502)</f>
        <v>11581.904122365231</v>
      </c>
    </row>
    <row r="503" spans="1:6" x14ac:dyDescent="0.25">
      <c r="A503" t="s">
        <v>2</v>
      </c>
      <c r="B503">
        <v>2029</v>
      </c>
      <c r="C503">
        <v>-2.9366682075861801E-2</v>
      </c>
      <c r="D503" s="29" t="str">
        <f t="shared" si="14"/>
        <v>F</v>
      </c>
      <c r="E503" s="29" t="str">
        <f t="shared" si="15"/>
        <v>00_04</v>
      </c>
      <c r="F503" s="29">
        <f>VLOOKUP(A503,POPN!$A$1:$B$39,2,FALSE)*(1+GROWTH!C503)</f>
        <v>11564.125349748183</v>
      </c>
    </row>
    <row r="504" spans="1:6" x14ac:dyDescent="0.25">
      <c r="A504" t="s">
        <v>2</v>
      </c>
      <c r="B504">
        <v>2030</v>
      </c>
      <c r="C504">
        <v>-3.1256336017777303E-2</v>
      </c>
      <c r="D504" s="29" t="str">
        <f t="shared" si="14"/>
        <v>F</v>
      </c>
      <c r="E504" s="29" t="str">
        <f t="shared" si="15"/>
        <v>00_04</v>
      </c>
      <c r="F504" s="29">
        <f>VLOOKUP(A504,POPN!$A$1:$B$39,2,FALSE)*(1+GROWTH!C504)</f>
        <v>11541.612012684202</v>
      </c>
    </row>
    <row r="505" spans="1:6" x14ac:dyDescent="0.25">
      <c r="A505" t="s">
        <v>2</v>
      </c>
      <c r="B505">
        <v>2031</v>
      </c>
      <c r="C505">
        <v>-3.3056778829387699E-2</v>
      </c>
      <c r="D505" s="29" t="str">
        <f t="shared" si="14"/>
        <v>F</v>
      </c>
      <c r="E505" s="29" t="str">
        <f t="shared" si="15"/>
        <v>00_04</v>
      </c>
      <c r="F505" s="29">
        <f>VLOOKUP(A505,POPN!$A$1:$B$39,2,FALSE)*(1+GROWTH!C505)</f>
        <v>11520.161537026675</v>
      </c>
    </row>
    <row r="506" spans="1:6" x14ac:dyDescent="0.25">
      <c r="A506" t="s">
        <v>2</v>
      </c>
      <c r="B506">
        <v>2032</v>
      </c>
      <c r="C506">
        <v>-3.4297624550903003E-2</v>
      </c>
      <c r="D506" s="29" t="str">
        <f t="shared" si="14"/>
        <v>F</v>
      </c>
      <c r="E506" s="29" t="str">
        <f t="shared" si="15"/>
        <v>00_04</v>
      </c>
      <c r="F506" s="29">
        <f>VLOOKUP(A506,POPN!$A$1:$B$39,2,FALSE)*(1+GROWTH!C506)</f>
        <v>11505.378101100541</v>
      </c>
    </row>
    <row r="507" spans="1:6" x14ac:dyDescent="0.25">
      <c r="A507" t="s">
        <v>2</v>
      </c>
      <c r="B507">
        <v>2033</v>
      </c>
      <c r="C507">
        <v>-3.5197845956708301E-2</v>
      </c>
      <c r="D507" s="29" t="str">
        <f t="shared" si="14"/>
        <v>F</v>
      </c>
      <c r="E507" s="29" t="str">
        <f t="shared" si="15"/>
        <v>00_04</v>
      </c>
      <c r="F507" s="29">
        <f>VLOOKUP(A507,POPN!$A$1:$B$39,2,FALSE)*(1+GROWTH!C507)</f>
        <v>11494.652863271778</v>
      </c>
    </row>
    <row r="508" spans="1:6" x14ac:dyDescent="0.25">
      <c r="A508" t="s">
        <v>2</v>
      </c>
      <c r="B508">
        <v>2034</v>
      </c>
      <c r="C508">
        <v>-3.5538470272418299E-2</v>
      </c>
      <c r="D508" s="29" t="str">
        <f t="shared" si="14"/>
        <v>F</v>
      </c>
      <c r="E508" s="29" t="str">
        <f t="shared" si="15"/>
        <v>00_04</v>
      </c>
      <c r="F508" s="29">
        <f>VLOOKUP(A508,POPN!$A$1:$B$39,2,FALSE)*(1+GROWTH!C508)</f>
        <v>11490.594665174409</v>
      </c>
    </row>
    <row r="509" spans="1:6" x14ac:dyDescent="0.25">
      <c r="A509" t="s">
        <v>2</v>
      </c>
      <c r="B509">
        <v>2035</v>
      </c>
      <c r="C509">
        <v>-3.51654055456882E-2</v>
      </c>
      <c r="D509" s="29" t="str">
        <f t="shared" si="14"/>
        <v>F</v>
      </c>
      <c r="E509" s="29" t="str">
        <f t="shared" si="15"/>
        <v>00_04</v>
      </c>
      <c r="F509" s="29">
        <f>VLOOKUP(A509,POPN!$A$1:$B$39,2,FALSE)*(1+GROWTH!C509)</f>
        <v>11495.03935832867</v>
      </c>
    </row>
    <row r="510" spans="1:6" x14ac:dyDescent="0.25">
      <c r="A510" t="s">
        <v>2</v>
      </c>
      <c r="B510">
        <v>2036</v>
      </c>
      <c r="C510">
        <v>-3.3965110337947899E-2</v>
      </c>
      <c r="D510" s="29" t="str">
        <f t="shared" si="14"/>
        <v>F</v>
      </c>
      <c r="E510" s="29" t="str">
        <f t="shared" si="15"/>
        <v>00_04</v>
      </c>
      <c r="F510" s="29">
        <f>VLOOKUP(A510,POPN!$A$1:$B$39,2,FALSE)*(1+GROWTH!C510)</f>
        <v>11509.339675433688</v>
      </c>
    </row>
    <row r="511" spans="1:6" x14ac:dyDescent="0.25">
      <c r="A511" t="s">
        <v>2</v>
      </c>
      <c r="B511">
        <v>2037</v>
      </c>
      <c r="C511">
        <v>-3.1848373518892401E-2</v>
      </c>
      <c r="D511" s="29" t="str">
        <f t="shared" si="14"/>
        <v>F</v>
      </c>
      <c r="E511" s="29" t="str">
        <f t="shared" si="15"/>
        <v>00_04</v>
      </c>
      <c r="F511" s="29">
        <f>VLOOKUP(A511,POPN!$A$1:$B$39,2,FALSE)*(1+GROWTH!C511)</f>
        <v>11534.558477895916</v>
      </c>
    </row>
    <row r="512" spans="1:6" x14ac:dyDescent="0.25">
      <c r="A512" t="s">
        <v>2</v>
      </c>
      <c r="B512">
        <v>2038</v>
      </c>
      <c r="C512">
        <v>-2.88719658078068E-2</v>
      </c>
      <c r="D512" s="29" t="str">
        <f t="shared" si="14"/>
        <v>F</v>
      </c>
      <c r="E512" s="29" t="str">
        <f t="shared" si="15"/>
        <v>00_04</v>
      </c>
      <c r="F512" s="29">
        <f>VLOOKUP(A512,POPN!$A$1:$B$39,2,FALSE)*(1+GROWTH!C512)</f>
        <v>11570.01939936579</v>
      </c>
    </row>
    <row r="513" spans="1:6" x14ac:dyDescent="0.25">
      <c r="A513" t="s">
        <v>2</v>
      </c>
      <c r="B513">
        <v>2039</v>
      </c>
      <c r="C513">
        <v>-2.52954104928509E-2</v>
      </c>
      <c r="D513" s="29" t="str">
        <f t="shared" si="14"/>
        <v>F</v>
      </c>
      <c r="E513" s="29" t="str">
        <f t="shared" si="15"/>
        <v>00_04</v>
      </c>
      <c r="F513" s="29">
        <f>VLOOKUP(A513,POPN!$A$1:$B$39,2,FALSE)*(1+GROWTH!C513)</f>
        <v>11612.630479388174</v>
      </c>
    </row>
    <row r="514" spans="1:6" x14ac:dyDescent="0.25">
      <c r="A514" t="s">
        <v>2</v>
      </c>
      <c r="B514">
        <v>2040</v>
      </c>
      <c r="C514">
        <v>-2.1329570245654999E-2</v>
      </c>
      <c r="D514" s="29" t="str">
        <f t="shared" si="14"/>
        <v>F</v>
      </c>
      <c r="E514" s="29" t="str">
        <f t="shared" si="15"/>
        <v>00_04</v>
      </c>
      <c r="F514" s="29">
        <f>VLOOKUP(A514,POPN!$A$1:$B$39,2,FALSE)*(1+GROWTH!C514)</f>
        <v>11659.879500093266</v>
      </c>
    </row>
    <row r="515" spans="1:6" x14ac:dyDescent="0.25">
      <c r="A515" t="s">
        <v>2</v>
      </c>
      <c r="B515">
        <v>2041</v>
      </c>
      <c r="C515">
        <v>-1.7177197635094E-2</v>
      </c>
      <c r="D515" s="29" t="str">
        <f t="shared" ref="D515:D578" si="16">LEFT(A515,1)</f>
        <v>F</v>
      </c>
      <c r="E515" s="29" t="str">
        <f t="shared" ref="E515:E578" si="17">MID(A515,3,LEN(A515)-2)</f>
        <v>00_04</v>
      </c>
      <c r="F515" s="29">
        <f>VLOOKUP(A515,POPN!$A$1:$B$39,2,FALSE)*(1+GROWTH!C515)</f>
        <v>11709.350867375491</v>
      </c>
    </row>
    <row r="516" spans="1:6" x14ac:dyDescent="0.25">
      <c r="A516" t="s">
        <v>2</v>
      </c>
      <c r="B516">
        <v>2042</v>
      </c>
      <c r="C516">
        <v>-1.3105926052083E-2</v>
      </c>
      <c r="D516" s="29" t="str">
        <f t="shared" si="16"/>
        <v>F</v>
      </c>
      <c r="E516" s="29" t="str">
        <f t="shared" si="17"/>
        <v>00_04</v>
      </c>
      <c r="F516" s="29">
        <f>VLOOKUP(A516,POPN!$A$1:$B$39,2,FALSE)*(1+GROWTH!C516)</f>
        <v>11757.855997015482</v>
      </c>
    </row>
    <row r="517" spans="1:6" x14ac:dyDescent="0.25">
      <c r="A517" t="s">
        <v>2</v>
      </c>
      <c r="B517">
        <v>2043</v>
      </c>
      <c r="C517">
        <v>-9.50504042886215E-3</v>
      </c>
      <c r="D517" s="29" t="str">
        <f t="shared" si="16"/>
        <v>F</v>
      </c>
      <c r="E517" s="29" t="str">
        <f t="shared" si="17"/>
        <v>00_04</v>
      </c>
      <c r="F517" s="29">
        <f>VLOOKUP(A517,POPN!$A$1:$B$39,2,FALSE)*(1+GROWTH!C517)</f>
        <v>11800.756948330536</v>
      </c>
    </row>
    <row r="518" spans="1:6" x14ac:dyDescent="0.25">
      <c r="A518" t="s">
        <v>2</v>
      </c>
      <c r="B518">
        <v>2044</v>
      </c>
      <c r="C518">
        <v>-6.6502842591015599E-3</v>
      </c>
      <c r="D518" s="29" t="str">
        <f t="shared" si="16"/>
        <v>F</v>
      </c>
      <c r="E518" s="29" t="str">
        <f t="shared" si="17"/>
        <v>00_04</v>
      </c>
      <c r="F518" s="29">
        <f>VLOOKUP(A518,POPN!$A$1:$B$39,2,FALSE)*(1+GROWTH!C518)</f>
        <v>11834.768513337065</v>
      </c>
    </row>
    <row r="519" spans="1:6" x14ac:dyDescent="0.25">
      <c r="A519" t="s">
        <v>2</v>
      </c>
      <c r="B519">
        <v>2045</v>
      </c>
      <c r="C519">
        <v>-4.6551989813710601E-3</v>
      </c>
      <c r="D519" s="29" t="str">
        <f t="shared" si="16"/>
        <v>F</v>
      </c>
      <c r="E519" s="29" t="str">
        <f t="shared" si="17"/>
        <v>00_04</v>
      </c>
      <c r="F519" s="29">
        <f>VLOOKUP(A519,POPN!$A$1:$B$39,2,FALSE)*(1+GROWTH!C519)</f>
        <v>11858.537959335947</v>
      </c>
    </row>
    <row r="520" spans="1:6" x14ac:dyDescent="0.25">
      <c r="A520" t="s">
        <v>2</v>
      </c>
      <c r="B520">
        <v>2046</v>
      </c>
      <c r="C520">
        <v>-3.6414361369958301E-3</v>
      </c>
      <c r="D520" s="29" t="str">
        <f t="shared" si="16"/>
        <v>F</v>
      </c>
      <c r="E520" s="29" t="str">
        <f t="shared" si="17"/>
        <v>00_04</v>
      </c>
      <c r="F520" s="29">
        <f>VLOOKUP(A520,POPN!$A$1:$B$39,2,FALSE)*(1+GROWTH!C520)</f>
        <v>11870.615929863832</v>
      </c>
    </row>
    <row r="521" spans="1:6" x14ac:dyDescent="0.25">
      <c r="A521" t="s">
        <v>2</v>
      </c>
      <c r="B521">
        <v>2047</v>
      </c>
      <c r="C521">
        <v>-3.6171058287307301E-3</v>
      </c>
      <c r="D521" s="29" t="str">
        <f t="shared" si="16"/>
        <v>F</v>
      </c>
      <c r="E521" s="29" t="str">
        <f t="shared" si="17"/>
        <v>00_04</v>
      </c>
      <c r="F521" s="29">
        <f>VLOOKUP(A521,POPN!$A$1:$B$39,2,FALSE)*(1+GROWTH!C521)</f>
        <v>11870.905801156501</v>
      </c>
    </row>
    <row r="522" spans="1:6" x14ac:dyDescent="0.25">
      <c r="A522" t="s">
        <v>3</v>
      </c>
      <c r="B522">
        <v>2022</v>
      </c>
      <c r="C522">
        <v>1.42265837011047E-2</v>
      </c>
      <c r="D522" s="29" t="str">
        <f t="shared" si="16"/>
        <v>F</v>
      </c>
      <c r="E522" s="29" t="str">
        <f t="shared" si="17"/>
        <v>05_09</v>
      </c>
      <c r="F522" s="29">
        <f>VLOOKUP(A522,POPN!$A$1:$B$39,2,FALSE)*(1+GROWTH!C522)</f>
        <v>14777.281324525095</v>
      </c>
    </row>
    <row r="523" spans="1:6" x14ac:dyDescent="0.25">
      <c r="A523" t="s">
        <v>3</v>
      </c>
      <c r="B523">
        <v>2023</v>
      </c>
      <c r="C523">
        <v>1.5672541871111001E-2</v>
      </c>
      <c r="D523" s="29" t="str">
        <f t="shared" si="16"/>
        <v>F</v>
      </c>
      <c r="E523" s="29" t="str">
        <f t="shared" si="17"/>
        <v>05_09</v>
      </c>
      <c r="F523" s="29">
        <f>VLOOKUP(A523,POPN!$A$1:$B$39,2,FALSE)*(1+GROWTH!C523)</f>
        <v>14798.348935062088</v>
      </c>
    </row>
    <row r="524" spans="1:6" x14ac:dyDescent="0.25">
      <c r="A524" t="s">
        <v>3</v>
      </c>
      <c r="B524">
        <v>2024</v>
      </c>
      <c r="C524">
        <v>5.44118856390996E-3</v>
      </c>
      <c r="D524" s="29" t="str">
        <f t="shared" si="16"/>
        <v>F</v>
      </c>
      <c r="E524" s="29" t="str">
        <f t="shared" si="17"/>
        <v>05_09</v>
      </c>
      <c r="F524" s="29">
        <f>VLOOKUP(A524,POPN!$A$1:$B$39,2,FALSE)*(1+GROWTH!C524)</f>
        <v>14649.27811737617</v>
      </c>
    </row>
    <row r="525" spans="1:6" x14ac:dyDescent="0.25">
      <c r="A525" t="s">
        <v>3</v>
      </c>
      <c r="B525">
        <v>2025</v>
      </c>
      <c r="C525">
        <v>0</v>
      </c>
      <c r="D525" s="29" t="str">
        <f t="shared" si="16"/>
        <v>F</v>
      </c>
      <c r="E525" s="29" t="str">
        <f t="shared" si="17"/>
        <v>05_09</v>
      </c>
      <c r="F525" s="29">
        <f>VLOOKUP(A525,POPN!$A$1:$B$39,2,FALSE)*(1+GROWTH!C525)</f>
        <v>14570</v>
      </c>
    </row>
    <row r="526" spans="1:6" x14ac:dyDescent="0.25">
      <c r="A526" t="s">
        <v>3</v>
      </c>
      <c r="B526">
        <v>2026</v>
      </c>
      <c r="C526">
        <v>-2.0490118143691199E-2</v>
      </c>
      <c r="D526" s="29" t="str">
        <f t="shared" si="16"/>
        <v>F</v>
      </c>
      <c r="E526" s="29" t="str">
        <f t="shared" si="17"/>
        <v>05_09</v>
      </c>
      <c r="F526" s="29">
        <f>VLOOKUP(A526,POPN!$A$1:$B$39,2,FALSE)*(1+GROWTH!C526)</f>
        <v>14271.45897864642</v>
      </c>
    </row>
    <row r="527" spans="1:6" x14ac:dyDescent="0.25">
      <c r="A527" t="s">
        <v>3</v>
      </c>
      <c r="B527">
        <v>2027</v>
      </c>
      <c r="C527">
        <v>-3.5847427427976197E-2</v>
      </c>
      <c r="D527" s="29" t="str">
        <f t="shared" si="16"/>
        <v>F</v>
      </c>
      <c r="E527" s="29" t="str">
        <f t="shared" si="17"/>
        <v>05_09</v>
      </c>
      <c r="F527" s="29">
        <f>VLOOKUP(A527,POPN!$A$1:$B$39,2,FALSE)*(1+GROWTH!C527)</f>
        <v>14047.702982374387</v>
      </c>
    </row>
    <row r="528" spans="1:6" x14ac:dyDescent="0.25">
      <c r="A528" t="s">
        <v>3</v>
      </c>
      <c r="B528">
        <v>2028</v>
      </c>
      <c r="C528">
        <v>-6.18335571941558E-2</v>
      </c>
      <c r="D528" s="29" t="str">
        <f t="shared" si="16"/>
        <v>F</v>
      </c>
      <c r="E528" s="29" t="str">
        <f t="shared" si="17"/>
        <v>05_09</v>
      </c>
      <c r="F528" s="29">
        <f>VLOOKUP(A528,POPN!$A$1:$B$39,2,FALSE)*(1+GROWTH!C528)</f>
        <v>13669.085071681149</v>
      </c>
    </row>
    <row r="529" spans="1:6" x14ac:dyDescent="0.25">
      <c r="A529" t="s">
        <v>3</v>
      </c>
      <c r="B529">
        <v>2029</v>
      </c>
      <c r="C529">
        <v>-8.0658424933526998E-2</v>
      </c>
      <c r="D529" s="29" t="str">
        <f t="shared" si="16"/>
        <v>F</v>
      </c>
      <c r="E529" s="29" t="str">
        <f t="shared" si="17"/>
        <v>05_09</v>
      </c>
      <c r="F529" s="29">
        <f>VLOOKUP(A529,POPN!$A$1:$B$39,2,FALSE)*(1+GROWTH!C529)</f>
        <v>13394.806748718511</v>
      </c>
    </row>
    <row r="530" spans="1:6" x14ac:dyDescent="0.25">
      <c r="A530" t="s">
        <v>3</v>
      </c>
      <c r="B530">
        <v>2030</v>
      </c>
      <c r="C530">
        <v>-9.9709437789534297E-2</v>
      </c>
      <c r="D530" s="29" t="str">
        <f t="shared" si="16"/>
        <v>F</v>
      </c>
      <c r="E530" s="29" t="str">
        <f t="shared" si="17"/>
        <v>05_09</v>
      </c>
      <c r="F530" s="29">
        <f>VLOOKUP(A530,POPN!$A$1:$B$39,2,FALSE)*(1+GROWTH!C530)</f>
        <v>13117.233491406485</v>
      </c>
    </row>
    <row r="531" spans="1:6" x14ac:dyDescent="0.25">
      <c r="A531" t="s">
        <v>3</v>
      </c>
      <c r="B531">
        <v>2031</v>
      </c>
      <c r="C531">
        <v>-0.108515391573696</v>
      </c>
      <c r="D531" s="29" t="str">
        <f t="shared" si="16"/>
        <v>F</v>
      </c>
      <c r="E531" s="29" t="str">
        <f t="shared" si="17"/>
        <v>05_09</v>
      </c>
      <c r="F531" s="29">
        <f>VLOOKUP(A531,POPN!$A$1:$B$39,2,FALSE)*(1+GROWTH!C531)</f>
        <v>12988.930744771249</v>
      </c>
    </row>
    <row r="532" spans="1:6" x14ac:dyDescent="0.25">
      <c r="A532" t="s">
        <v>3</v>
      </c>
      <c r="B532">
        <v>2032</v>
      </c>
      <c r="C532">
        <v>-0.11804089800170001</v>
      </c>
      <c r="D532" s="29" t="str">
        <f t="shared" si="16"/>
        <v>F</v>
      </c>
      <c r="E532" s="29" t="str">
        <f t="shared" si="17"/>
        <v>05_09</v>
      </c>
      <c r="F532" s="29">
        <f>VLOOKUP(A532,POPN!$A$1:$B$39,2,FALSE)*(1+GROWTH!C532)</f>
        <v>12850.144116115231</v>
      </c>
    </row>
    <row r="533" spans="1:6" x14ac:dyDescent="0.25">
      <c r="A533" t="s">
        <v>3</v>
      </c>
      <c r="B533">
        <v>2033</v>
      </c>
      <c r="C533">
        <v>-0.119219593761136</v>
      </c>
      <c r="D533" s="29" t="str">
        <f t="shared" si="16"/>
        <v>F</v>
      </c>
      <c r="E533" s="29" t="str">
        <f t="shared" si="17"/>
        <v>05_09</v>
      </c>
      <c r="F533" s="29">
        <f>VLOOKUP(A533,POPN!$A$1:$B$39,2,FALSE)*(1+GROWTH!C533)</f>
        <v>12832.970518900249</v>
      </c>
    </row>
    <row r="534" spans="1:6" x14ac:dyDescent="0.25">
      <c r="A534" t="s">
        <v>3</v>
      </c>
      <c r="B534">
        <v>2034</v>
      </c>
      <c r="C534">
        <v>-0.119802088758532</v>
      </c>
      <c r="D534" s="29" t="str">
        <f t="shared" si="16"/>
        <v>F</v>
      </c>
      <c r="E534" s="29" t="str">
        <f t="shared" si="17"/>
        <v>05_09</v>
      </c>
      <c r="F534" s="29">
        <f>VLOOKUP(A534,POPN!$A$1:$B$39,2,FALSE)*(1+GROWTH!C534)</f>
        <v>12824.483566788189</v>
      </c>
    </row>
    <row r="535" spans="1:6" x14ac:dyDescent="0.25">
      <c r="A535" t="s">
        <v>3</v>
      </c>
      <c r="B535">
        <v>2035</v>
      </c>
      <c r="C535">
        <v>-0.120980784517968</v>
      </c>
      <c r="D535" s="29" t="str">
        <f t="shared" si="16"/>
        <v>F</v>
      </c>
      <c r="E535" s="29" t="str">
        <f t="shared" si="17"/>
        <v>05_09</v>
      </c>
      <c r="F535" s="29">
        <f>VLOOKUP(A535,POPN!$A$1:$B$39,2,FALSE)*(1+GROWTH!C535)</f>
        <v>12807.309969573205</v>
      </c>
    </row>
    <row r="536" spans="1:6" x14ac:dyDescent="0.25">
      <c r="A536" t="s">
        <v>3</v>
      </c>
      <c r="B536">
        <v>2036</v>
      </c>
      <c r="C536">
        <v>-0.122090951454182</v>
      </c>
      <c r="D536" s="29" t="str">
        <f t="shared" si="16"/>
        <v>F</v>
      </c>
      <c r="E536" s="29" t="str">
        <f t="shared" si="17"/>
        <v>05_09</v>
      </c>
      <c r="F536" s="29">
        <f>VLOOKUP(A536,POPN!$A$1:$B$39,2,FALSE)*(1+GROWTH!C536)</f>
        <v>12791.134837312567</v>
      </c>
    </row>
    <row r="537" spans="1:6" x14ac:dyDescent="0.25">
      <c r="A537" t="s">
        <v>3</v>
      </c>
      <c r="B537">
        <v>2037</v>
      </c>
      <c r="C537">
        <v>-0.122694005098544</v>
      </c>
      <c r="D537" s="29" t="str">
        <f t="shared" si="16"/>
        <v>F</v>
      </c>
      <c r="E537" s="29" t="str">
        <f t="shared" si="17"/>
        <v>05_09</v>
      </c>
      <c r="F537" s="29">
        <f>VLOOKUP(A537,POPN!$A$1:$B$39,2,FALSE)*(1+GROWTH!C537)</f>
        <v>12782.348345714214</v>
      </c>
    </row>
    <row r="538" spans="1:6" x14ac:dyDescent="0.25">
      <c r="A538" t="s">
        <v>3</v>
      </c>
      <c r="B538">
        <v>2038</v>
      </c>
      <c r="C538">
        <v>-0.123016090567693</v>
      </c>
      <c r="D538" s="29" t="str">
        <f t="shared" si="16"/>
        <v>F</v>
      </c>
      <c r="E538" s="29" t="str">
        <f t="shared" si="17"/>
        <v>05_09</v>
      </c>
      <c r="F538" s="29">
        <f>VLOOKUP(A538,POPN!$A$1:$B$39,2,FALSE)*(1+GROWTH!C538)</f>
        <v>12777.655560428713</v>
      </c>
    </row>
    <row r="539" spans="1:6" x14ac:dyDescent="0.25">
      <c r="A539" t="s">
        <v>3</v>
      </c>
      <c r="B539">
        <v>2039</v>
      </c>
      <c r="C539">
        <v>-0.122851621391957</v>
      </c>
      <c r="D539" s="29" t="str">
        <f t="shared" si="16"/>
        <v>F</v>
      </c>
      <c r="E539" s="29" t="str">
        <f t="shared" si="17"/>
        <v>05_09</v>
      </c>
      <c r="F539" s="29">
        <f>VLOOKUP(A539,POPN!$A$1:$B$39,2,FALSE)*(1+GROWTH!C539)</f>
        <v>12780.051876319187</v>
      </c>
    </row>
    <row r="540" spans="1:6" x14ac:dyDescent="0.25">
      <c r="A540" t="s">
        <v>3</v>
      </c>
      <c r="B540">
        <v>2040</v>
      </c>
      <c r="C540">
        <v>-0.122063539924892</v>
      </c>
      <c r="D540" s="29" t="str">
        <f t="shared" si="16"/>
        <v>F</v>
      </c>
      <c r="E540" s="29" t="str">
        <f t="shared" si="17"/>
        <v>05_09</v>
      </c>
      <c r="F540" s="29">
        <f>VLOOKUP(A540,POPN!$A$1:$B$39,2,FALSE)*(1+GROWTH!C540)</f>
        <v>12791.534223294324</v>
      </c>
    </row>
    <row r="541" spans="1:6" x14ac:dyDescent="0.25">
      <c r="A541" t="s">
        <v>3</v>
      </c>
      <c r="B541">
        <v>2041</v>
      </c>
      <c r="C541">
        <v>-0.12056961157863</v>
      </c>
      <c r="D541" s="29" t="str">
        <f t="shared" si="16"/>
        <v>F</v>
      </c>
      <c r="E541" s="29" t="str">
        <f t="shared" si="17"/>
        <v>05_09</v>
      </c>
      <c r="F541" s="29">
        <f>VLOOKUP(A541,POPN!$A$1:$B$39,2,FALSE)*(1+GROWTH!C541)</f>
        <v>12813.300759299362</v>
      </c>
    </row>
    <row r="542" spans="1:6" x14ac:dyDescent="0.25">
      <c r="A542" t="s">
        <v>3</v>
      </c>
      <c r="B542">
        <v>2042</v>
      </c>
      <c r="C542">
        <v>-0.118267043118336</v>
      </c>
      <c r="D542" s="29" t="str">
        <f t="shared" si="16"/>
        <v>F</v>
      </c>
      <c r="E542" s="29" t="str">
        <f t="shared" si="17"/>
        <v>05_09</v>
      </c>
      <c r="F542" s="29">
        <f>VLOOKUP(A542,POPN!$A$1:$B$39,2,FALSE)*(1+GROWTH!C542)</f>
        <v>12846.849181765843</v>
      </c>
    </row>
    <row r="543" spans="1:6" x14ac:dyDescent="0.25">
      <c r="A543" t="s">
        <v>3</v>
      </c>
      <c r="B543">
        <v>2043</v>
      </c>
      <c r="C543">
        <v>-0.11521751048491</v>
      </c>
      <c r="D543" s="29" t="str">
        <f t="shared" si="16"/>
        <v>F</v>
      </c>
      <c r="E543" s="29" t="str">
        <f t="shared" si="17"/>
        <v>05_09</v>
      </c>
      <c r="F543" s="29">
        <f>VLOOKUP(A543,POPN!$A$1:$B$39,2,FALSE)*(1+GROWTH!C543)</f>
        <v>12891.280872234862</v>
      </c>
    </row>
    <row r="544" spans="1:6" x14ac:dyDescent="0.25">
      <c r="A544" t="s">
        <v>3</v>
      </c>
      <c r="B544">
        <v>2044</v>
      </c>
      <c r="C544">
        <v>-0.111626600148022</v>
      </c>
      <c r="D544" s="29" t="str">
        <f t="shared" si="16"/>
        <v>F</v>
      </c>
      <c r="E544" s="29" t="str">
        <f t="shared" si="17"/>
        <v>05_09</v>
      </c>
      <c r="F544" s="29">
        <f>VLOOKUP(A544,POPN!$A$1:$B$39,2,FALSE)*(1+GROWTH!C544)</f>
        <v>12943.60043584332</v>
      </c>
    </row>
    <row r="545" spans="1:6" x14ac:dyDescent="0.25">
      <c r="A545" t="s">
        <v>3</v>
      </c>
      <c r="B545">
        <v>2045</v>
      </c>
      <c r="C545">
        <v>-0.107679339930375</v>
      </c>
      <c r="D545" s="29" t="str">
        <f t="shared" si="16"/>
        <v>F</v>
      </c>
      <c r="E545" s="29" t="str">
        <f t="shared" si="17"/>
        <v>05_09</v>
      </c>
      <c r="F545" s="29">
        <f>VLOOKUP(A545,POPN!$A$1:$B$39,2,FALSE)*(1+GROWTH!C545)</f>
        <v>13001.112017214436</v>
      </c>
    </row>
    <row r="546" spans="1:6" x14ac:dyDescent="0.25">
      <c r="A546" t="s">
        <v>3</v>
      </c>
      <c r="B546">
        <v>2046</v>
      </c>
      <c r="C546">
        <v>-0.10355390477234699</v>
      </c>
      <c r="D546" s="29" t="str">
        <f t="shared" si="16"/>
        <v>F</v>
      </c>
      <c r="E546" s="29" t="str">
        <f t="shared" si="17"/>
        <v>05_09</v>
      </c>
      <c r="F546" s="29">
        <f>VLOOKUP(A546,POPN!$A$1:$B$39,2,FALSE)*(1+GROWTH!C546)</f>
        <v>13061.219607466903</v>
      </c>
    </row>
    <row r="547" spans="1:6" x14ac:dyDescent="0.25">
      <c r="A547" t="s">
        <v>3</v>
      </c>
      <c r="B547">
        <v>2047</v>
      </c>
      <c r="C547">
        <v>-9.9490145555220497E-2</v>
      </c>
      <c r="D547" s="29" t="str">
        <f t="shared" si="16"/>
        <v>F</v>
      </c>
      <c r="E547" s="29" t="str">
        <f t="shared" si="17"/>
        <v>05_09</v>
      </c>
      <c r="F547" s="29">
        <f>VLOOKUP(A547,POPN!$A$1:$B$39,2,FALSE)*(1+GROWTH!C547)</f>
        <v>13120.428579260437</v>
      </c>
    </row>
    <row r="548" spans="1:6" x14ac:dyDescent="0.25">
      <c r="A548" t="s">
        <v>4</v>
      </c>
      <c r="B548">
        <v>2022</v>
      </c>
      <c r="C548">
        <v>1.1111316533860801E-2</v>
      </c>
      <c r="D548" s="29" t="str">
        <f t="shared" si="16"/>
        <v>F</v>
      </c>
      <c r="E548" s="29" t="str">
        <f t="shared" si="17"/>
        <v>10_14</v>
      </c>
      <c r="F548" s="29">
        <f>VLOOKUP(A548,POPN!$A$1:$B$39,2,FALSE)*(1+GROWTH!C548)</f>
        <v>16920.947882194159</v>
      </c>
    </row>
    <row r="549" spans="1:6" x14ac:dyDescent="0.25">
      <c r="A549" t="s">
        <v>4</v>
      </c>
      <c r="B549">
        <v>2023</v>
      </c>
      <c r="C549">
        <v>9.1947222787134106E-3</v>
      </c>
      <c r="D549" s="29" t="str">
        <f t="shared" si="16"/>
        <v>F</v>
      </c>
      <c r="E549" s="29" t="str">
        <f t="shared" si="17"/>
        <v>10_14</v>
      </c>
      <c r="F549" s="29">
        <f>VLOOKUP(A549,POPN!$A$1:$B$39,2,FALSE)*(1+GROWTH!C549)</f>
        <v>16888.873677334268</v>
      </c>
    </row>
    <row r="550" spans="1:6" x14ac:dyDescent="0.25">
      <c r="A550" t="s">
        <v>4</v>
      </c>
      <c r="B550">
        <v>2024</v>
      </c>
      <c r="C550">
        <v>1.19186279403697E-2</v>
      </c>
      <c r="D550" s="29" t="str">
        <f t="shared" si="16"/>
        <v>F</v>
      </c>
      <c r="E550" s="29" t="str">
        <f t="shared" si="17"/>
        <v>10_14</v>
      </c>
      <c r="F550" s="29">
        <f>VLOOKUP(A550,POPN!$A$1:$B$39,2,FALSE)*(1+GROWTH!C550)</f>
        <v>16934.458238582087</v>
      </c>
    </row>
    <row r="551" spans="1:6" x14ac:dyDescent="0.25">
      <c r="A551" t="s">
        <v>4</v>
      </c>
      <c r="B551">
        <v>2025</v>
      </c>
      <c r="C551">
        <v>0</v>
      </c>
      <c r="D551" s="29" t="str">
        <f t="shared" si="16"/>
        <v>F</v>
      </c>
      <c r="E551" s="29" t="str">
        <f t="shared" si="17"/>
        <v>10_14</v>
      </c>
      <c r="F551" s="29">
        <f>VLOOKUP(A551,POPN!$A$1:$B$39,2,FALSE)*(1+GROWTH!C551)</f>
        <v>16735</v>
      </c>
    </row>
    <row r="552" spans="1:6" x14ac:dyDescent="0.25">
      <c r="A552" t="s">
        <v>4</v>
      </c>
      <c r="B552">
        <v>2026</v>
      </c>
      <c r="C552">
        <v>-1.11544553113079E-2</v>
      </c>
      <c r="D552" s="29" t="str">
        <f t="shared" si="16"/>
        <v>F</v>
      </c>
      <c r="E552" s="29" t="str">
        <f t="shared" si="17"/>
        <v>10_14</v>
      </c>
      <c r="F552" s="29">
        <f>VLOOKUP(A552,POPN!$A$1:$B$39,2,FALSE)*(1+GROWTH!C552)</f>
        <v>16548.330190365261</v>
      </c>
    </row>
    <row r="553" spans="1:6" x14ac:dyDescent="0.25">
      <c r="A553" t="s">
        <v>4</v>
      </c>
      <c r="B553">
        <v>2027</v>
      </c>
      <c r="C553">
        <v>-2.69494105394197E-2</v>
      </c>
      <c r="D553" s="29" t="str">
        <f t="shared" si="16"/>
        <v>F</v>
      </c>
      <c r="E553" s="29" t="str">
        <f t="shared" si="17"/>
        <v>10_14</v>
      </c>
      <c r="F553" s="29">
        <f>VLOOKUP(A553,POPN!$A$1:$B$39,2,FALSE)*(1+GROWTH!C553)</f>
        <v>16284.001614622812</v>
      </c>
    </row>
    <row r="554" spans="1:6" x14ac:dyDescent="0.25">
      <c r="A554" t="s">
        <v>4</v>
      </c>
      <c r="B554">
        <v>2028</v>
      </c>
      <c r="C554">
        <v>-3.1386541933973097E-2</v>
      </c>
      <c r="D554" s="29" t="str">
        <f t="shared" si="16"/>
        <v>F</v>
      </c>
      <c r="E554" s="29" t="str">
        <f t="shared" si="17"/>
        <v>10_14</v>
      </c>
      <c r="F554" s="29">
        <f>VLOOKUP(A554,POPN!$A$1:$B$39,2,FALSE)*(1+GROWTH!C554)</f>
        <v>16209.746220734962</v>
      </c>
    </row>
    <row r="555" spans="1:6" x14ac:dyDescent="0.25">
      <c r="A555" t="s">
        <v>4</v>
      </c>
      <c r="B555">
        <v>2029</v>
      </c>
      <c r="C555">
        <v>-4.33729593817598E-2</v>
      </c>
      <c r="D555" s="29" t="str">
        <f t="shared" si="16"/>
        <v>F</v>
      </c>
      <c r="E555" s="29" t="str">
        <f t="shared" si="17"/>
        <v>10_14</v>
      </c>
      <c r="F555" s="29">
        <f>VLOOKUP(A555,POPN!$A$1:$B$39,2,FALSE)*(1+GROWTH!C555)</f>
        <v>16009.153524746251</v>
      </c>
    </row>
    <row r="556" spans="1:6" x14ac:dyDescent="0.25">
      <c r="A556" t="s">
        <v>4</v>
      </c>
      <c r="B556">
        <v>2030</v>
      </c>
      <c r="C556">
        <v>-4.9695871618998397E-2</v>
      </c>
      <c r="D556" s="29" t="str">
        <f t="shared" si="16"/>
        <v>F</v>
      </c>
      <c r="E556" s="29" t="str">
        <f t="shared" si="17"/>
        <v>10_14</v>
      </c>
      <c r="F556" s="29">
        <f>VLOOKUP(A556,POPN!$A$1:$B$39,2,FALSE)*(1+GROWTH!C556)</f>
        <v>15903.339588456063</v>
      </c>
    </row>
    <row r="557" spans="1:6" x14ac:dyDescent="0.25">
      <c r="A557" t="s">
        <v>4</v>
      </c>
      <c r="B557">
        <v>2031</v>
      </c>
      <c r="C557">
        <v>-6.8264033968705895E-2</v>
      </c>
      <c r="D557" s="29" t="str">
        <f t="shared" si="16"/>
        <v>F</v>
      </c>
      <c r="E557" s="29" t="str">
        <f t="shared" si="17"/>
        <v>10_14</v>
      </c>
      <c r="F557" s="29">
        <f>VLOOKUP(A557,POPN!$A$1:$B$39,2,FALSE)*(1+GROWTH!C557)</f>
        <v>15592.601391533706</v>
      </c>
    </row>
    <row r="558" spans="1:6" x14ac:dyDescent="0.25">
      <c r="A558" t="s">
        <v>4</v>
      </c>
      <c r="B558">
        <v>2032</v>
      </c>
      <c r="C558">
        <v>-8.1957514466897197E-2</v>
      </c>
      <c r="D558" s="29" t="str">
        <f t="shared" si="16"/>
        <v>F</v>
      </c>
      <c r="E558" s="29" t="str">
        <f t="shared" si="17"/>
        <v>10_14</v>
      </c>
      <c r="F558" s="29">
        <f>VLOOKUP(A558,POPN!$A$1:$B$39,2,FALSE)*(1+GROWTH!C558)</f>
        <v>15363.440995396477</v>
      </c>
    </row>
    <row r="559" spans="1:6" x14ac:dyDescent="0.25">
      <c r="A559" t="s">
        <v>4</v>
      </c>
      <c r="B559">
        <v>2033</v>
      </c>
      <c r="C559">
        <v>-0.104753277006415</v>
      </c>
      <c r="D559" s="29" t="str">
        <f t="shared" si="16"/>
        <v>F</v>
      </c>
      <c r="E559" s="29" t="str">
        <f t="shared" si="17"/>
        <v>10_14</v>
      </c>
      <c r="F559" s="29">
        <f>VLOOKUP(A559,POPN!$A$1:$B$39,2,FALSE)*(1+GROWTH!C559)</f>
        <v>14981.953909297645</v>
      </c>
    </row>
    <row r="560" spans="1:6" x14ac:dyDescent="0.25">
      <c r="A560" t="s">
        <v>4</v>
      </c>
      <c r="B560">
        <v>2034</v>
      </c>
      <c r="C560">
        <v>-0.12184239555793799</v>
      </c>
      <c r="D560" s="29" t="str">
        <f t="shared" si="16"/>
        <v>F</v>
      </c>
      <c r="E560" s="29" t="str">
        <f t="shared" si="17"/>
        <v>10_14</v>
      </c>
      <c r="F560" s="29">
        <f>VLOOKUP(A560,POPN!$A$1:$B$39,2,FALSE)*(1+GROWTH!C560)</f>
        <v>14695.967510337909</v>
      </c>
    </row>
    <row r="561" spans="1:6" x14ac:dyDescent="0.25">
      <c r="A561" t="s">
        <v>4</v>
      </c>
      <c r="B561">
        <v>2035</v>
      </c>
      <c r="C561">
        <v>-0.13858024120739301</v>
      </c>
      <c r="D561" s="29" t="str">
        <f t="shared" si="16"/>
        <v>F</v>
      </c>
      <c r="E561" s="29" t="str">
        <f t="shared" si="17"/>
        <v>10_14</v>
      </c>
      <c r="F561" s="29">
        <f>VLOOKUP(A561,POPN!$A$1:$B$39,2,FALSE)*(1+GROWTH!C561)</f>
        <v>14415.859663394278</v>
      </c>
    </row>
    <row r="562" spans="1:6" x14ac:dyDescent="0.25">
      <c r="A562" t="s">
        <v>4</v>
      </c>
      <c r="B562">
        <v>2036</v>
      </c>
      <c r="C562">
        <v>-0.146579403082574</v>
      </c>
      <c r="D562" s="29" t="str">
        <f t="shared" si="16"/>
        <v>F</v>
      </c>
      <c r="E562" s="29" t="str">
        <f t="shared" si="17"/>
        <v>10_14</v>
      </c>
      <c r="F562" s="29">
        <f>VLOOKUP(A562,POPN!$A$1:$B$39,2,FALSE)*(1+GROWTH!C562)</f>
        <v>14281.993689413124</v>
      </c>
    </row>
    <row r="563" spans="1:6" x14ac:dyDescent="0.25">
      <c r="A563" t="s">
        <v>4</v>
      </c>
      <c r="B563">
        <v>2037</v>
      </c>
      <c r="C563">
        <v>-0.15510239296961201</v>
      </c>
      <c r="D563" s="29" t="str">
        <f t="shared" si="16"/>
        <v>F</v>
      </c>
      <c r="E563" s="29" t="str">
        <f t="shared" si="17"/>
        <v>10_14</v>
      </c>
      <c r="F563" s="29">
        <f>VLOOKUP(A563,POPN!$A$1:$B$39,2,FALSE)*(1+GROWTH!C563)</f>
        <v>14139.361453653542</v>
      </c>
    </row>
    <row r="564" spans="1:6" x14ac:dyDescent="0.25">
      <c r="A564" t="s">
        <v>4</v>
      </c>
      <c r="B564">
        <v>2038</v>
      </c>
      <c r="C564">
        <v>-0.15585424023368899</v>
      </c>
      <c r="D564" s="29" t="str">
        <f t="shared" si="16"/>
        <v>F</v>
      </c>
      <c r="E564" s="29" t="str">
        <f t="shared" si="17"/>
        <v>10_14</v>
      </c>
      <c r="F564" s="29">
        <f>VLOOKUP(A564,POPN!$A$1:$B$39,2,FALSE)*(1+GROWTH!C564)</f>
        <v>14126.779289689215</v>
      </c>
    </row>
    <row r="565" spans="1:6" x14ac:dyDescent="0.25">
      <c r="A565" t="s">
        <v>4</v>
      </c>
      <c r="B565">
        <v>2039</v>
      </c>
      <c r="C565">
        <v>-0.156094584850894</v>
      </c>
      <c r="D565" s="29" t="str">
        <f t="shared" si="16"/>
        <v>F</v>
      </c>
      <c r="E565" s="29" t="str">
        <f t="shared" si="17"/>
        <v>10_14</v>
      </c>
      <c r="F565" s="29">
        <f>VLOOKUP(A565,POPN!$A$1:$B$39,2,FALSE)*(1+GROWTH!C565)</f>
        <v>14122.757122520288</v>
      </c>
    </row>
    <row r="566" spans="1:6" x14ac:dyDescent="0.25">
      <c r="A566" t="s">
        <v>4</v>
      </c>
      <c r="B566">
        <v>2040</v>
      </c>
      <c r="C566">
        <v>-0.15695119771734201</v>
      </c>
      <c r="D566" s="29" t="str">
        <f t="shared" si="16"/>
        <v>F</v>
      </c>
      <c r="E566" s="29" t="str">
        <f t="shared" si="17"/>
        <v>10_14</v>
      </c>
      <c r="F566" s="29">
        <f>VLOOKUP(A566,POPN!$A$1:$B$39,2,FALSE)*(1+GROWTH!C566)</f>
        <v>14108.421706200281</v>
      </c>
    </row>
    <row r="567" spans="1:6" x14ac:dyDescent="0.25">
      <c r="A567" t="s">
        <v>4</v>
      </c>
      <c r="B567">
        <v>2041</v>
      </c>
      <c r="C567">
        <v>-0.15773385839388199</v>
      </c>
      <c r="D567" s="29" t="str">
        <f t="shared" si="16"/>
        <v>F</v>
      </c>
      <c r="E567" s="29" t="str">
        <f t="shared" si="17"/>
        <v>10_14</v>
      </c>
      <c r="F567" s="29">
        <f>VLOOKUP(A567,POPN!$A$1:$B$39,2,FALSE)*(1+GROWTH!C567)</f>
        <v>14095.323879778385</v>
      </c>
    </row>
    <row r="568" spans="1:6" x14ac:dyDescent="0.25">
      <c r="A568" t="s">
        <v>4</v>
      </c>
      <c r="B568">
        <v>2042</v>
      </c>
      <c r="C568">
        <v>-0.158054317883488</v>
      </c>
      <c r="D568" s="29" t="str">
        <f t="shared" si="16"/>
        <v>F</v>
      </c>
      <c r="E568" s="29" t="str">
        <f t="shared" si="17"/>
        <v>10_14</v>
      </c>
      <c r="F568" s="29">
        <f>VLOOKUP(A568,POPN!$A$1:$B$39,2,FALSE)*(1+GROWTH!C568)</f>
        <v>14089.960990219828</v>
      </c>
    </row>
    <row r="569" spans="1:6" x14ac:dyDescent="0.25">
      <c r="A569" t="s">
        <v>4</v>
      </c>
      <c r="B569">
        <v>2043</v>
      </c>
      <c r="C569">
        <v>-0.158097456660935</v>
      </c>
      <c r="D569" s="29" t="str">
        <f t="shared" si="16"/>
        <v>F</v>
      </c>
      <c r="E569" s="29" t="str">
        <f t="shared" si="17"/>
        <v>10_14</v>
      </c>
      <c r="F569" s="29">
        <f>VLOOKUP(A569,POPN!$A$1:$B$39,2,FALSE)*(1+GROWTH!C569)</f>
        <v>14089.239062779252</v>
      </c>
    </row>
    <row r="570" spans="1:6" x14ac:dyDescent="0.25">
      <c r="A570" t="s">
        <v>4</v>
      </c>
      <c r="B570">
        <v>2044</v>
      </c>
      <c r="C570">
        <v>-0.15769071961643499</v>
      </c>
      <c r="D570" s="29" t="str">
        <f t="shared" si="16"/>
        <v>F</v>
      </c>
      <c r="E570" s="29" t="str">
        <f t="shared" si="17"/>
        <v>10_14</v>
      </c>
      <c r="F570" s="29">
        <f>VLOOKUP(A570,POPN!$A$1:$B$39,2,FALSE)*(1+GROWTH!C570)</f>
        <v>14096.045807218961</v>
      </c>
    </row>
    <row r="571" spans="1:6" x14ac:dyDescent="0.25">
      <c r="A571" t="s">
        <v>4</v>
      </c>
      <c r="B571">
        <v>2045</v>
      </c>
      <c r="C571">
        <v>-0.15671701578263</v>
      </c>
      <c r="D571" s="29" t="str">
        <f t="shared" si="16"/>
        <v>F</v>
      </c>
      <c r="E571" s="29" t="str">
        <f t="shared" si="17"/>
        <v>10_14</v>
      </c>
      <c r="F571" s="29">
        <f>VLOOKUP(A571,POPN!$A$1:$B$39,2,FALSE)*(1+GROWTH!C571)</f>
        <v>14112.340740877687</v>
      </c>
    </row>
    <row r="572" spans="1:6" x14ac:dyDescent="0.25">
      <c r="A572" t="s">
        <v>4</v>
      </c>
      <c r="B572">
        <v>2046</v>
      </c>
      <c r="C572">
        <v>-0.15509006760462701</v>
      </c>
      <c r="D572" s="29" t="str">
        <f t="shared" si="16"/>
        <v>F</v>
      </c>
      <c r="E572" s="29" t="str">
        <f t="shared" si="17"/>
        <v>10_14</v>
      </c>
      <c r="F572" s="29">
        <f>VLOOKUP(A572,POPN!$A$1:$B$39,2,FALSE)*(1+GROWTH!C572)</f>
        <v>14139.567718636568</v>
      </c>
    </row>
    <row r="573" spans="1:6" x14ac:dyDescent="0.25">
      <c r="A573" t="s">
        <v>4</v>
      </c>
      <c r="B573">
        <v>2047</v>
      </c>
      <c r="C573">
        <v>-0.152717434845039</v>
      </c>
      <c r="D573" s="29" t="str">
        <f t="shared" si="16"/>
        <v>F</v>
      </c>
      <c r="E573" s="29" t="str">
        <f t="shared" si="17"/>
        <v>10_14</v>
      </c>
      <c r="F573" s="29">
        <f>VLOOKUP(A573,POPN!$A$1:$B$39,2,FALSE)*(1+GROWTH!C573)</f>
        <v>14179.273727868273</v>
      </c>
    </row>
    <row r="574" spans="1:6" x14ac:dyDescent="0.25">
      <c r="A574" t="s">
        <v>5</v>
      </c>
      <c r="B574">
        <v>2022</v>
      </c>
      <c r="C574">
        <v>-4.3009239116525502E-2</v>
      </c>
      <c r="D574" s="29" t="str">
        <f t="shared" si="16"/>
        <v>F</v>
      </c>
      <c r="E574" s="29" t="str">
        <f t="shared" si="17"/>
        <v>15_19</v>
      </c>
      <c r="F574" s="29">
        <f>VLOOKUP(A574,POPN!$A$1:$B$39,2,FALSE)*(1+GROWTH!C574)</f>
        <v>16022.896309472013</v>
      </c>
    </row>
    <row r="575" spans="1:6" x14ac:dyDescent="0.25">
      <c r="A575" t="s">
        <v>5</v>
      </c>
      <c r="B575">
        <v>2023</v>
      </c>
      <c r="C575">
        <v>-3.1556317661812501E-2</v>
      </c>
      <c r="D575" s="29" t="str">
        <f t="shared" si="16"/>
        <v>F</v>
      </c>
      <c r="E575" s="29" t="str">
        <f t="shared" si="17"/>
        <v>15_19</v>
      </c>
      <c r="F575" s="29">
        <f>VLOOKUP(A575,POPN!$A$1:$B$39,2,FALSE)*(1+GROWTH!C575)</f>
        <v>16214.652573388272</v>
      </c>
    </row>
    <row r="576" spans="1:6" x14ac:dyDescent="0.25">
      <c r="A576" t="s">
        <v>5</v>
      </c>
      <c r="B576">
        <v>2024</v>
      </c>
      <c r="C576">
        <v>-1.5381465462083899E-2</v>
      </c>
      <c r="D576" s="29" t="str">
        <f t="shared" si="16"/>
        <v>F</v>
      </c>
      <c r="E576" s="29" t="str">
        <f t="shared" si="17"/>
        <v>15_19</v>
      </c>
      <c r="F576" s="29">
        <f>VLOOKUP(A576,POPN!$A$1:$B$39,2,FALSE)*(1+GROWTH!C576)</f>
        <v>16485.468123768329</v>
      </c>
    </row>
    <row r="577" spans="1:6" x14ac:dyDescent="0.25">
      <c r="A577" t="s">
        <v>5</v>
      </c>
      <c r="B577">
        <v>2025</v>
      </c>
      <c r="C577">
        <v>0</v>
      </c>
      <c r="D577" s="29" t="str">
        <f t="shared" si="16"/>
        <v>F</v>
      </c>
      <c r="E577" s="29" t="str">
        <f t="shared" si="17"/>
        <v>15_19</v>
      </c>
      <c r="F577" s="29">
        <f>VLOOKUP(A577,POPN!$A$1:$B$39,2,FALSE)*(1+GROWTH!C577)</f>
        <v>16743</v>
      </c>
    </row>
    <row r="578" spans="1:6" x14ac:dyDescent="0.25">
      <c r="A578" t="s">
        <v>5</v>
      </c>
      <c r="B578">
        <v>2026</v>
      </c>
      <c r="C578">
        <v>1.27133826427456E-2</v>
      </c>
      <c r="D578" s="29" t="str">
        <f t="shared" si="16"/>
        <v>F</v>
      </c>
      <c r="E578" s="29" t="str">
        <f t="shared" si="17"/>
        <v>15_19</v>
      </c>
      <c r="F578" s="29">
        <f>VLOOKUP(A578,POPN!$A$1:$B$39,2,FALSE)*(1+GROWTH!C578)</f>
        <v>16955.860165587492</v>
      </c>
    </row>
    <row r="579" spans="1:6" x14ac:dyDescent="0.25">
      <c r="A579" t="s">
        <v>5</v>
      </c>
      <c r="B579">
        <v>2027</v>
      </c>
      <c r="C579">
        <v>1.8766155657359299E-2</v>
      </c>
      <c r="D579" s="29" t="str">
        <f t="shared" ref="D579:D642" si="18">LEFT(A579,1)</f>
        <v>F</v>
      </c>
      <c r="E579" s="29" t="str">
        <f t="shared" ref="E579:E642" si="19">MID(A579,3,LEN(A579)-2)</f>
        <v>15_19</v>
      </c>
      <c r="F579" s="29">
        <f>VLOOKUP(A579,POPN!$A$1:$B$39,2,FALSE)*(1+GROWTH!C579)</f>
        <v>17057.201744171165</v>
      </c>
    </row>
    <row r="580" spans="1:6" x14ac:dyDescent="0.25">
      <c r="A580" t="s">
        <v>5</v>
      </c>
      <c r="B580">
        <v>2028</v>
      </c>
      <c r="C580">
        <v>1.3218846773987099E-2</v>
      </c>
      <c r="D580" s="29" t="str">
        <f t="shared" si="18"/>
        <v>F</v>
      </c>
      <c r="E580" s="29" t="str">
        <f t="shared" si="19"/>
        <v>15_19</v>
      </c>
      <c r="F580" s="29">
        <f>VLOOKUP(A580,POPN!$A$1:$B$39,2,FALSE)*(1+GROWTH!C580)</f>
        <v>16964.323151536864</v>
      </c>
    </row>
    <row r="581" spans="1:6" x14ac:dyDescent="0.25">
      <c r="A581" t="s">
        <v>5</v>
      </c>
      <c r="B581">
        <v>2029</v>
      </c>
      <c r="C581">
        <v>1.01860619865379E-2</v>
      </c>
      <c r="D581" s="29" t="str">
        <f t="shared" si="18"/>
        <v>F</v>
      </c>
      <c r="E581" s="29" t="str">
        <f t="shared" si="19"/>
        <v>15_19</v>
      </c>
      <c r="F581" s="29">
        <f>VLOOKUP(A581,POPN!$A$1:$B$39,2,FALSE)*(1+GROWTH!C581)</f>
        <v>16913.545235840604</v>
      </c>
    </row>
    <row r="582" spans="1:6" x14ac:dyDescent="0.25">
      <c r="A582" t="s">
        <v>5</v>
      </c>
      <c r="B582">
        <v>2030</v>
      </c>
      <c r="C582">
        <v>-2.57210861720374E-3</v>
      </c>
      <c r="D582" s="29" t="str">
        <f t="shared" si="18"/>
        <v>F</v>
      </c>
      <c r="E582" s="29" t="str">
        <f t="shared" si="19"/>
        <v>15_19</v>
      </c>
      <c r="F582" s="29">
        <f>VLOOKUP(A582,POPN!$A$1:$B$39,2,FALSE)*(1+GROWTH!C582)</f>
        <v>16699.935185422157</v>
      </c>
    </row>
    <row r="583" spans="1:6" x14ac:dyDescent="0.25">
      <c r="A583" t="s">
        <v>5</v>
      </c>
      <c r="B583">
        <v>2031</v>
      </c>
      <c r="C583">
        <v>-1.3129270851995001E-2</v>
      </c>
      <c r="D583" s="29" t="str">
        <f t="shared" si="18"/>
        <v>F</v>
      </c>
      <c r="E583" s="29" t="str">
        <f t="shared" si="19"/>
        <v>15_19</v>
      </c>
      <c r="F583" s="29">
        <f>VLOOKUP(A583,POPN!$A$1:$B$39,2,FALSE)*(1+GROWTH!C583)</f>
        <v>16523.176618125046</v>
      </c>
    </row>
    <row r="584" spans="1:6" x14ac:dyDescent="0.25">
      <c r="A584" t="s">
        <v>5</v>
      </c>
      <c r="B584">
        <v>2032</v>
      </c>
      <c r="C584">
        <v>-2.5989813938013501E-2</v>
      </c>
      <c r="D584" s="29" t="str">
        <f t="shared" si="18"/>
        <v>F</v>
      </c>
      <c r="E584" s="29" t="str">
        <f t="shared" si="19"/>
        <v>15_19</v>
      </c>
      <c r="F584" s="29">
        <f>VLOOKUP(A584,POPN!$A$1:$B$39,2,FALSE)*(1+GROWTH!C584)</f>
        <v>16307.852545235841</v>
      </c>
    </row>
    <row r="585" spans="1:6" x14ac:dyDescent="0.25">
      <c r="A585" t="s">
        <v>5</v>
      </c>
      <c r="B585">
        <v>2033</v>
      </c>
      <c r="C585">
        <v>-3.1153226012847798E-2</v>
      </c>
      <c r="D585" s="29" t="str">
        <f t="shared" si="18"/>
        <v>F</v>
      </c>
      <c r="E585" s="29" t="str">
        <f t="shared" si="19"/>
        <v>15_19</v>
      </c>
      <c r="F585" s="29">
        <f>VLOOKUP(A585,POPN!$A$1:$B$39,2,FALSE)*(1+GROWTH!C585)</f>
        <v>16221.40153686689</v>
      </c>
    </row>
    <row r="586" spans="1:6" x14ac:dyDescent="0.25">
      <c r="A586" t="s">
        <v>5</v>
      </c>
      <c r="B586">
        <v>2034</v>
      </c>
      <c r="C586">
        <v>-4.1729583088066E-2</v>
      </c>
      <c r="D586" s="29" t="str">
        <f t="shared" si="18"/>
        <v>F</v>
      </c>
      <c r="E586" s="29" t="str">
        <f t="shared" si="19"/>
        <v>15_19</v>
      </c>
      <c r="F586" s="29">
        <f>VLOOKUP(A586,POPN!$A$1:$B$39,2,FALSE)*(1+GROWTH!C586)</f>
        <v>16044.321590356512</v>
      </c>
    </row>
    <row r="587" spans="1:6" x14ac:dyDescent="0.25">
      <c r="A587" t="s">
        <v>5</v>
      </c>
      <c r="B587">
        <v>2035</v>
      </c>
      <c r="C587">
        <v>-5.0136923195045202E-2</v>
      </c>
      <c r="D587" s="29" t="str">
        <f t="shared" si="18"/>
        <v>F</v>
      </c>
      <c r="E587" s="29" t="str">
        <f t="shared" si="19"/>
        <v>15_19</v>
      </c>
      <c r="F587" s="29">
        <f>VLOOKUP(A587,POPN!$A$1:$B$39,2,FALSE)*(1+GROWTH!C587)</f>
        <v>15903.557494945357</v>
      </c>
    </row>
    <row r="588" spans="1:6" x14ac:dyDescent="0.25">
      <c r="A588" t="s">
        <v>5</v>
      </c>
      <c r="B588">
        <v>2036</v>
      </c>
      <c r="C588">
        <v>-6.8384818160878394E-2</v>
      </c>
      <c r="D588" s="29" t="str">
        <f t="shared" si="18"/>
        <v>F</v>
      </c>
      <c r="E588" s="29" t="str">
        <f t="shared" si="19"/>
        <v>15_19</v>
      </c>
      <c r="F588" s="29">
        <f>VLOOKUP(A588,POPN!$A$1:$B$39,2,FALSE)*(1+GROWTH!C588)</f>
        <v>15598.032989532414</v>
      </c>
    </row>
    <row r="589" spans="1:6" x14ac:dyDescent="0.25">
      <c r="A589" t="s">
        <v>5</v>
      </c>
      <c r="B589">
        <v>2037</v>
      </c>
      <c r="C589">
        <v>-8.2755355360479205E-2</v>
      </c>
      <c r="D589" s="29" t="str">
        <f t="shared" si="18"/>
        <v>F</v>
      </c>
      <c r="E589" s="29" t="str">
        <f t="shared" si="19"/>
        <v>15_19</v>
      </c>
      <c r="F589" s="29">
        <f>VLOOKUP(A589,POPN!$A$1:$B$39,2,FALSE)*(1+GROWTH!C589)</f>
        <v>15357.427085199497</v>
      </c>
    </row>
    <row r="590" spans="1:6" x14ac:dyDescent="0.25">
      <c r="A590" t="s">
        <v>5</v>
      </c>
      <c r="B590">
        <v>2038</v>
      </c>
      <c r="C590">
        <v>-0.103792900468354</v>
      </c>
      <c r="D590" s="29" t="str">
        <f t="shared" si="18"/>
        <v>F</v>
      </c>
      <c r="E590" s="29" t="str">
        <f t="shared" si="19"/>
        <v>15_19</v>
      </c>
      <c r="F590" s="29">
        <f>VLOOKUP(A590,POPN!$A$1:$B$39,2,FALSE)*(1+GROWTH!C590)</f>
        <v>15005.195467458349</v>
      </c>
    </row>
    <row r="591" spans="1:6" x14ac:dyDescent="0.25">
      <c r="A591" t="s">
        <v>5</v>
      </c>
      <c r="B591">
        <v>2039</v>
      </c>
      <c r="C591">
        <v>-0.120863511888004</v>
      </c>
      <c r="D591" s="29" t="str">
        <f t="shared" si="18"/>
        <v>F</v>
      </c>
      <c r="E591" s="29" t="str">
        <f t="shared" si="19"/>
        <v>15_19</v>
      </c>
      <c r="F591" s="29">
        <f>VLOOKUP(A591,POPN!$A$1:$B$39,2,FALSE)*(1+GROWTH!C591)</f>
        <v>14719.382220459149</v>
      </c>
    </row>
    <row r="592" spans="1:6" x14ac:dyDescent="0.25">
      <c r="A592" t="s">
        <v>5</v>
      </c>
      <c r="B592">
        <v>2040</v>
      </c>
      <c r="C592">
        <v>-0.13448545031095599</v>
      </c>
      <c r="D592" s="29" t="str">
        <f t="shared" si="18"/>
        <v>F</v>
      </c>
      <c r="E592" s="29" t="str">
        <f t="shared" si="19"/>
        <v>15_19</v>
      </c>
      <c r="F592" s="29">
        <f>VLOOKUP(A592,POPN!$A$1:$B$39,2,FALSE)*(1+GROWTH!C592)</f>
        <v>14491.310105443663</v>
      </c>
    </row>
    <row r="593" spans="1:6" x14ac:dyDescent="0.25">
      <c r="A593" t="s">
        <v>5</v>
      </c>
      <c r="B593">
        <v>2041</v>
      </c>
      <c r="C593">
        <v>-0.142016226038441</v>
      </c>
      <c r="D593" s="29" t="str">
        <f t="shared" si="18"/>
        <v>F</v>
      </c>
      <c r="E593" s="29" t="str">
        <f t="shared" si="19"/>
        <v>15_19</v>
      </c>
      <c r="F593" s="29">
        <f>VLOOKUP(A593,POPN!$A$1:$B$39,2,FALSE)*(1+GROWTH!C593)</f>
        <v>14365.222327438383</v>
      </c>
    </row>
    <row r="594" spans="1:6" x14ac:dyDescent="0.25">
      <c r="A594" t="s">
        <v>5</v>
      </c>
      <c r="B594">
        <v>2042</v>
      </c>
      <c r="C594">
        <v>-0.14803700765234301</v>
      </c>
      <c r="D594" s="29" t="str">
        <f t="shared" si="18"/>
        <v>F</v>
      </c>
      <c r="E594" s="29" t="str">
        <f t="shared" si="19"/>
        <v>15_19</v>
      </c>
      <c r="F594" s="29">
        <f>VLOOKUP(A594,POPN!$A$1:$B$39,2,FALSE)*(1+GROWTH!C594)</f>
        <v>14264.416380876823</v>
      </c>
    </row>
    <row r="595" spans="1:6" x14ac:dyDescent="0.25">
      <c r="A595" t="s">
        <v>5</v>
      </c>
      <c r="B595">
        <v>2043</v>
      </c>
      <c r="C595">
        <v>-0.148126583574335</v>
      </c>
      <c r="D595" s="29" t="str">
        <f t="shared" si="18"/>
        <v>F</v>
      </c>
      <c r="E595" s="29" t="str">
        <f t="shared" si="19"/>
        <v>15_19</v>
      </c>
      <c r="F595" s="29">
        <f>VLOOKUP(A595,POPN!$A$1:$B$39,2,FALSE)*(1+GROWTH!C595)</f>
        <v>14262.916611214909</v>
      </c>
    </row>
    <row r="596" spans="1:6" x14ac:dyDescent="0.25">
      <c r="A596" t="s">
        <v>5</v>
      </c>
      <c r="B596">
        <v>2044</v>
      </c>
      <c r="C596">
        <v>-0.148331328538889</v>
      </c>
      <c r="D596" s="29" t="str">
        <f t="shared" si="18"/>
        <v>F</v>
      </c>
      <c r="E596" s="29" t="str">
        <f t="shared" si="19"/>
        <v>15_19</v>
      </c>
      <c r="F596" s="29">
        <f>VLOOKUP(A596,POPN!$A$1:$B$39,2,FALSE)*(1+GROWTH!C596)</f>
        <v>14259.488566273381</v>
      </c>
    </row>
    <row r="597" spans="1:6" x14ac:dyDescent="0.25">
      <c r="A597" t="s">
        <v>5</v>
      </c>
      <c r="B597">
        <v>2045</v>
      </c>
      <c r="C597">
        <v>-0.148977554833261</v>
      </c>
      <c r="D597" s="29" t="str">
        <f t="shared" si="18"/>
        <v>F</v>
      </c>
      <c r="E597" s="29" t="str">
        <f t="shared" si="19"/>
        <v>15_19</v>
      </c>
      <c r="F597" s="29">
        <f>VLOOKUP(A597,POPN!$A$1:$B$39,2,FALSE)*(1+GROWTH!C597)</f>
        <v>14248.66879942671</v>
      </c>
    </row>
    <row r="598" spans="1:6" x14ac:dyDescent="0.25">
      <c r="A598" t="s">
        <v>5</v>
      </c>
      <c r="B598">
        <v>2046</v>
      </c>
      <c r="C598">
        <v>-0.14944462928364899</v>
      </c>
      <c r="D598" s="29" t="str">
        <f t="shared" si="18"/>
        <v>F</v>
      </c>
      <c r="E598" s="29" t="str">
        <f t="shared" si="19"/>
        <v>15_19</v>
      </c>
      <c r="F598" s="29">
        <f>VLOOKUP(A598,POPN!$A$1:$B$39,2,FALSE)*(1+GROWTH!C598)</f>
        <v>14240.848571903865</v>
      </c>
    </row>
    <row r="599" spans="1:6" x14ac:dyDescent="0.25">
      <c r="A599" t="s">
        <v>5</v>
      </c>
      <c r="B599">
        <v>2047</v>
      </c>
      <c r="C599">
        <v>-0.14954060348578299</v>
      </c>
      <c r="D599" s="29" t="str">
        <f t="shared" si="18"/>
        <v>F</v>
      </c>
      <c r="E599" s="29" t="str">
        <f t="shared" si="19"/>
        <v>15_19</v>
      </c>
      <c r="F599" s="29">
        <f>VLOOKUP(A599,POPN!$A$1:$B$39,2,FALSE)*(1+GROWTH!C599)</f>
        <v>14239.241675837535</v>
      </c>
    </row>
    <row r="600" spans="1:6" x14ac:dyDescent="0.25">
      <c r="A600" t="s">
        <v>6</v>
      </c>
      <c r="B600">
        <v>2022</v>
      </c>
      <c r="C600">
        <v>3.1372653252886101E-2</v>
      </c>
      <c r="D600" s="29" t="str">
        <f t="shared" si="18"/>
        <v>F</v>
      </c>
      <c r="E600" s="29" t="str">
        <f t="shared" si="19"/>
        <v>20_24</v>
      </c>
      <c r="F600" s="29">
        <f>VLOOKUP(A600,POPN!$A$1:$B$39,2,FALSE)*(1+GROWTH!C600)</f>
        <v>13568.73862619497</v>
      </c>
    </row>
    <row r="601" spans="1:6" x14ac:dyDescent="0.25">
      <c r="A601" t="s">
        <v>6</v>
      </c>
      <c r="B601">
        <v>2023</v>
      </c>
      <c r="C601">
        <v>2.2450805801415799E-2</v>
      </c>
      <c r="D601" s="29" t="str">
        <f t="shared" si="18"/>
        <v>F</v>
      </c>
      <c r="E601" s="29" t="str">
        <f t="shared" si="19"/>
        <v>20_24</v>
      </c>
      <c r="F601" s="29">
        <f>VLOOKUP(A601,POPN!$A$1:$B$39,2,FALSE)*(1+GROWTH!C601)</f>
        <v>13451.362801123427</v>
      </c>
    </row>
    <row r="602" spans="1:6" x14ac:dyDescent="0.25">
      <c r="A602" t="s">
        <v>6</v>
      </c>
      <c r="B602">
        <v>2024</v>
      </c>
      <c r="C602">
        <v>9.4800166564778608E-3</v>
      </c>
      <c r="D602" s="29" t="str">
        <f t="shared" si="18"/>
        <v>F</v>
      </c>
      <c r="E602" s="29" t="str">
        <f t="shared" si="19"/>
        <v>20_24</v>
      </c>
      <c r="F602" s="29">
        <f>VLOOKUP(A602,POPN!$A$1:$B$39,2,FALSE)*(1+GROWTH!C602)</f>
        <v>13280.719099132624</v>
      </c>
    </row>
    <row r="603" spans="1:6" x14ac:dyDescent="0.25">
      <c r="A603" t="s">
        <v>6</v>
      </c>
      <c r="B603">
        <v>2025</v>
      </c>
      <c r="C603">
        <v>0</v>
      </c>
      <c r="D603" s="29" t="str">
        <f t="shared" si="18"/>
        <v>F</v>
      </c>
      <c r="E603" s="29" t="str">
        <f t="shared" si="19"/>
        <v>20_24</v>
      </c>
      <c r="F603" s="29">
        <f>VLOOKUP(A603,POPN!$A$1:$B$39,2,FALSE)*(1+GROWTH!C603)</f>
        <v>13156</v>
      </c>
    </row>
    <row r="604" spans="1:6" x14ac:dyDescent="0.25">
      <c r="A604" t="s">
        <v>6</v>
      </c>
      <c r="B604">
        <v>2026</v>
      </c>
      <c r="C604">
        <v>-1.8605640166919201E-3</v>
      </c>
      <c r="D604" s="29" t="str">
        <f t="shared" si="18"/>
        <v>F</v>
      </c>
      <c r="E604" s="29" t="str">
        <f t="shared" si="19"/>
        <v>20_24</v>
      </c>
      <c r="F604" s="29">
        <f>VLOOKUP(A604,POPN!$A$1:$B$39,2,FALSE)*(1+GROWTH!C604)</f>
        <v>13131.522419796402</v>
      </c>
    </row>
    <row r="605" spans="1:6" x14ac:dyDescent="0.25">
      <c r="A605" t="s">
        <v>6</v>
      </c>
      <c r="B605">
        <v>2027</v>
      </c>
      <c r="C605">
        <v>9.7901106592598493E-3</v>
      </c>
      <c r="D605" s="29" t="str">
        <f t="shared" si="18"/>
        <v>F</v>
      </c>
      <c r="E605" s="29" t="str">
        <f t="shared" si="19"/>
        <v>20_24</v>
      </c>
      <c r="F605" s="29">
        <f>VLOOKUP(A605,POPN!$A$1:$B$39,2,FALSE)*(1+GROWTH!C605)</f>
        <v>13284.798695833224</v>
      </c>
    </row>
    <row r="606" spans="1:6" x14ac:dyDescent="0.25">
      <c r="A606" t="s">
        <v>6</v>
      </c>
      <c r="B606">
        <v>2028</v>
      </c>
      <c r="C606">
        <v>1.7391843641744099E-2</v>
      </c>
      <c r="D606" s="29" t="str">
        <f t="shared" si="18"/>
        <v>F</v>
      </c>
      <c r="E606" s="29" t="str">
        <f t="shared" si="19"/>
        <v>20_24</v>
      </c>
      <c r="F606" s="29">
        <f>VLOOKUP(A606,POPN!$A$1:$B$39,2,FALSE)*(1+GROWTH!C606)</f>
        <v>13384.807094950786</v>
      </c>
    </row>
    <row r="607" spans="1:6" x14ac:dyDescent="0.25">
      <c r="A607" t="s">
        <v>6</v>
      </c>
      <c r="B607">
        <v>2029</v>
      </c>
      <c r="C607">
        <v>2.7119935500447501E-2</v>
      </c>
      <c r="D607" s="29" t="str">
        <f t="shared" si="18"/>
        <v>F</v>
      </c>
      <c r="E607" s="29" t="str">
        <f t="shared" si="19"/>
        <v>20_24</v>
      </c>
      <c r="F607" s="29">
        <f>VLOOKUP(A607,POPN!$A$1:$B$39,2,FALSE)*(1+GROWTH!C607)</f>
        <v>13512.789871443887</v>
      </c>
    </row>
    <row r="608" spans="1:6" x14ac:dyDescent="0.25">
      <c r="A608" t="s">
        <v>6</v>
      </c>
      <c r="B608">
        <v>2030</v>
      </c>
      <c r="C608">
        <v>4.3041047586139802E-2</v>
      </c>
      <c r="D608" s="29" t="str">
        <f t="shared" si="18"/>
        <v>F</v>
      </c>
      <c r="E608" s="29" t="str">
        <f t="shared" si="19"/>
        <v>20_24</v>
      </c>
      <c r="F608" s="29">
        <f>VLOOKUP(A608,POPN!$A$1:$B$39,2,FALSE)*(1+GROWTH!C608)</f>
        <v>13722.248022043255</v>
      </c>
    </row>
    <row r="609" spans="1:6" x14ac:dyDescent="0.25">
      <c r="A609" t="s">
        <v>6</v>
      </c>
      <c r="B609">
        <v>2031</v>
      </c>
      <c r="C609">
        <v>6.0193675854308903E-2</v>
      </c>
      <c r="D609" s="29" t="str">
        <f t="shared" si="18"/>
        <v>F</v>
      </c>
      <c r="E609" s="29" t="str">
        <f t="shared" si="19"/>
        <v>20_24</v>
      </c>
      <c r="F609" s="29">
        <f>VLOOKUP(A609,POPN!$A$1:$B$39,2,FALSE)*(1+GROWTH!C609)</f>
        <v>13947.907999539288</v>
      </c>
    </row>
    <row r="610" spans="1:6" x14ac:dyDescent="0.25">
      <c r="A610" t="s">
        <v>6</v>
      </c>
      <c r="B610">
        <v>2032</v>
      </c>
      <c r="C610">
        <v>7.1613994985337104E-2</v>
      </c>
      <c r="D610" s="29" t="str">
        <f t="shared" si="18"/>
        <v>F</v>
      </c>
      <c r="E610" s="29" t="str">
        <f t="shared" si="19"/>
        <v>20_24</v>
      </c>
      <c r="F610" s="29">
        <f>VLOOKUP(A610,POPN!$A$1:$B$39,2,FALSE)*(1+GROWTH!C610)</f>
        <v>14098.153718027095</v>
      </c>
    </row>
    <row r="611" spans="1:6" x14ac:dyDescent="0.25">
      <c r="A611" t="s">
        <v>6</v>
      </c>
      <c r="B611">
        <v>2033</v>
      </c>
      <c r="C611">
        <v>6.9106663477128294E-2</v>
      </c>
      <c r="D611" s="29" t="str">
        <f t="shared" si="18"/>
        <v>F</v>
      </c>
      <c r="E611" s="29" t="str">
        <f t="shared" si="19"/>
        <v>20_24</v>
      </c>
      <c r="F611" s="29">
        <f>VLOOKUP(A611,POPN!$A$1:$B$39,2,FALSE)*(1+GROWTH!C611)</f>
        <v>14065.167264705098</v>
      </c>
    </row>
    <row r="612" spans="1:6" x14ac:dyDescent="0.25">
      <c r="A612" t="s">
        <v>6</v>
      </c>
      <c r="B612">
        <v>2034</v>
      </c>
      <c r="C612">
        <v>6.9921767713012506E-2</v>
      </c>
      <c r="D612" s="29" t="str">
        <f t="shared" si="18"/>
        <v>F</v>
      </c>
      <c r="E612" s="29" t="str">
        <f t="shared" si="19"/>
        <v>20_24</v>
      </c>
      <c r="F612" s="29">
        <f>VLOOKUP(A612,POPN!$A$1:$B$39,2,FALSE)*(1+GROWTH!C612)</f>
        <v>14075.890776032395</v>
      </c>
    </row>
    <row r="613" spans="1:6" x14ac:dyDescent="0.25">
      <c r="A613" t="s">
        <v>6</v>
      </c>
      <c r="B613">
        <v>2035</v>
      </c>
      <c r="C613">
        <v>6.2514950960848498E-2</v>
      </c>
      <c r="D613" s="29" t="str">
        <f t="shared" si="18"/>
        <v>F</v>
      </c>
      <c r="E613" s="29" t="str">
        <f t="shared" si="19"/>
        <v>20_24</v>
      </c>
      <c r="F613" s="29">
        <f>VLOOKUP(A613,POPN!$A$1:$B$39,2,FALSE)*(1+GROWTH!C613)</f>
        <v>13978.446694840923</v>
      </c>
    </row>
    <row r="614" spans="1:6" x14ac:dyDescent="0.25">
      <c r="A614" t="s">
        <v>6</v>
      </c>
      <c r="B614">
        <v>2036</v>
      </c>
      <c r="C614">
        <v>5.35753838520764E-2</v>
      </c>
      <c r="D614" s="29" t="str">
        <f t="shared" si="18"/>
        <v>F</v>
      </c>
      <c r="E614" s="29" t="str">
        <f t="shared" si="19"/>
        <v>20_24</v>
      </c>
      <c r="F614" s="29">
        <f>VLOOKUP(A614,POPN!$A$1:$B$39,2,FALSE)*(1+GROWTH!C614)</f>
        <v>13860.837749957918</v>
      </c>
    </row>
    <row r="615" spans="1:6" x14ac:dyDescent="0.25">
      <c r="A615" t="s">
        <v>6</v>
      </c>
      <c r="B615">
        <v>2037</v>
      </c>
      <c r="C615">
        <v>3.9346499038708599E-2</v>
      </c>
      <c r="D615" s="29" t="str">
        <f t="shared" si="18"/>
        <v>F</v>
      </c>
      <c r="E615" s="29" t="str">
        <f t="shared" si="19"/>
        <v>20_24</v>
      </c>
      <c r="F615" s="29">
        <f>VLOOKUP(A615,POPN!$A$1:$B$39,2,FALSE)*(1+GROWTH!C615)</f>
        <v>13673.642541353251</v>
      </c>
    </row>
    <row r="616" spans="1:6" x14ac:dyDescent="0.25">
      <c r="A616" t="s">
        <v>6</v>
      </c>
      <c r="B616">
        <v>2038</v>
      </c>
      <c r="C616">
        <v>3.2462412176948501E-2</v>
      </c>
      <c r="D616" s="29" t="str">
        <f t="shared" si="18"/>
        <v>F</v>
      </c>
      <c r="E616" s="29" t="str">
        <f t="shared" si="19"/>
        <v>20_24</v>
      </c>
      <c r="F616" s="29">
        <f>VLOOKUP(A616,POPN!$A$1:$B$39,2,FALSE)*(1+GROWTH!C616)</f>
        <v>13583.075494599936</v>
      </c>
    </row>
    <row r="617" spans="1:6" x14ac:dyDescent="0.25">
      <c r="A617" t="s">
        <v>6</v>
      </c>
      <c r="B617">
        <v>2039</v>
      </c>
      <c r="C617">
        <v>2.3053274149678001E-2</v>
      </c>
      <c r="D617" s="29" t="str">
        <f t="shared" si="18"/>
        <v>F</v>
      </c>
      <c r="E617" s="29" t="str">
        <f t="shared" si="19"/>
        <v>20_24</v>
      </c>
      <c r="F617" s="29">
        <f>VLOOKUP(A617,POPN!$A$1:$B$39,2,FALSE)*(1+GROWTH!C617)</f>
        <v>13459.288874713164</v>
      </c>
    </row>
    <row r="618" spans="1:6" x14ac:dyDescent="0.25">
      <c r="A618" t="s">
        <v>6</v>
      </c>
      <c r="B618">
        <v>2040</v>
      </c>
      <c r="C618">
        <v>1.4095987383604E-2</v>
      </c>
      <c r="D618" s="29" t="str">
        <f t="shared" si="18"/>
        <v>F</v>
      </c>
      <c r="E618" s="29" t="str">
        <f t="shared" si="19"/>
        <v>20_24</v>
      </c>
      <c r="F618" s="29">
        <f>VLOOKUP(A618,POPN!$A$1:$B$39,2,FALSE)*(1+GROWTH!C618)</f>
        <v>13341.446810018693</v>
      </c>
    </row>
    <row r="619" spans="1:6" x14ac:dyDescent="0.25">
      <c r="A619" t="s">
        <v>6</v>
      </c>
      <c r="B619">
        <v>2041</v>
      </c>
      <c r="C619">
        <v>-4.4830732973624599E-3</v>
      </c>
      <c r="D619" s="29" t="str">
        <f t="shared" si="18"/>
        <v>F</v>
      </c>
      <c r="E619" s="29" t="str">
        <f t="shared" si="19"/>
        <v>20_24</v>
      </c>
      <c r="F619" s="29">
        <f>VLOOKUP(A619,POPN!$A$1:$B$39,2,FALSE)*(1+GROWTH!C619)</f>
        <v>13097.0206876999</v>
      </c>
    </row>
    <row r="620" spans="1:6" x14ac:dyDescent="0.25">
      <c r="A620" t="s">
        <v>6</v>
      </c>
      <c r="B620">
        <v>2042</v>
      </c>
      <c r="C620">
        <v>-1.7365264155791201E-2</v>
      </c>
      <c r="D620" s="29" t="str">
        <f t="shared" si="18"/>
        <v>F</v>
      </c>
      <c r="E620" s="29" t="str">
        <f t="shared" si="19"/>
        <v>20_24</v>
      </c>
      <c r="F620" s="29">
        <f>VLOOKUP(A620,POPN!$A$1:$B$39,2,FALSE)*(1+GROWTH!C620)</f>
        <v>12927.54258476641</v>
      </c>
    </row>
    <row r="621" spans="1:6" x14ac:dyDescent="0.25">
      <c r="A621" t="s">
        <v>6</v>
      </c>
      <c r="B621">
        <v>2043</v>
      </c>
      <c r="C621">
        <v>-3.51735197441281E-2</v>
      </c>
      <c r="D621" s="29" t="str">
        <f t="shared" si="18"/>
        <v>F</v>
      </c>
      <c r="E621" s="29" t="str">
        <f t="shared" si="19"/>
        <v>20_24</v>
      </c>
      <c r="F621" s="29">
        <f>VLOOKUP(A621,POPN!$A$1:$B$39,2,FALSE)*(1+GROWTH!C621)</f>
        <v>12693.257174246251</v>
      </c>
    </row>
    <row r="622" spans="1:6" x14ac:dyDescent="0.25">
      <c r="A622" t="s">
        <v>6</v>
      </c>
      <c r="B622">
        <v>2044</v>
      </c>
      <c r="C622">
        <v>-4.9951713933852497E-2</v>
      </c>
      <c r="D622" s="29" t="str">
        <f t="shared" si="18"/>
        <v>F</v>
      </c>
      <c r="E622" s="29" t="str">
        <f t="shared" si="19"/>
        <v>20_24</v>
      </c>
      <c r="F622" s="29">
        <f>VLOOKUP(A622,POPN!$A$1:$B$39,2,FALSE)*(1+GROWTH!C622)</f>
        <v>12498.835251486236</v>
      </c>
    </row>
    <row r="623" spans="1:6" x14ac:dyDescent="0.25">
      <c r="A623" t="s">
        <v>6</v>
      </c>
      <c r="B623">
        <v>2045</v>
      </c>
      <c r="C623">
        <v>-6.3250316738874199E-2</v>
      </c>
      <c r="D623" s="29" t="str">
        <f t="shared" si="18"/>
        <v>F</v>
      </c>
      <c r="E623" s="29" t="str">
        <f t="shared" si="19"/>
        <v>20_24</v>
      </c>
      <c r="F623" s="29">
        <f>VLOOKUP(A623,POPN!$A$1:$B$39,2,FALSE)*(1+GROWTH!C623)</f>
        <v>12323.878832983371</v>
      </c>
    </row>
    <row r="624" spans="1:6" x14ac:dyDescent="0.25">
      <c r="A624" t="s">
        <v>6</v>
      </c>
      <c r="B624">
        <v>2046</v>
      </c>
      <c r="C624">
        <v>-7.0790030920801994E-2</v>
      </c>
      <c r="D624" s="29" t="str">
        <f t="shared" si="18"/>
        <v>F</v>
      </c>
      <c r="E624" s="29" t="str">
        <f t="shared" si="19"/>
        <v>20_24</v>
      </c>
      <c r="F624" s="29">
        <f>VLOOKUP(A624,POPN!$A$1:$B$39,2,FALSE)*(1+GROWTH!C624)</f>
        <v>12224.686353205929</v>
      </c>
    </row>
    <row r="625" spans="1:6" x14ac:dyDescent="0.25">
      <c r="A625" t="s">
        <v>6</v>
      </c>
      <c r="B625">
        <v>2047</v>
      </c>
      <c r="C625">
        <v>-7.9428363855442996E-2</v>
      </c>
      <c r="D625" s="29" t="str">
        <f t="shared" si="18"/>
        <v>F</v>
      </c>
      <c r="E625" s="29" t="str">
        <f t="shared" si="19"/>
        <v>20_24</v>
      </c>
      <c r="F625" s="29">
        <f>VLOOKUP(A625,POPN!$A$1:$B$39,2,FALSE)*(1+GROWTH!C625)</f>
        <v>12111.040445117793</v>
      </c>
    </row>
    <row r="626" spans="1:6" x14ac:dyDescent="0.25">
      <c r="A626" t="s">
        <v>7</v>
      </c>
      <c r="B626">
        <v>2022</v>
      </c>
      <c r="C626">
        <v>7.7356314039492401E-3</v>
      </c>
      <c r="D626" s="29" t="str">
        <f t="shared" si="18"/>
        <v>F</v>
      </c>
      <c r="E626" s="29" t="str">
        <f t="shared" si="19"/>
        <v>25_29</v>
      </c>
      <c r="F626" s="29">
        <f>VLOOKUP(A626,POPN!$A$1:$B$39,2,FALSE)*(1+GROWTH!C626)</f>
        <v>15439.517608739905</v>
      </c>
    </row>
    <row r="627" spans="1:6" x14ac:dyDescent="0.25">
      <c r="A627" t="s">
        <v>7</v>
      </c>
      <c r="B627">
        <v>2023</v>
      </c>
      <c r="C627">
        <v>1.8151591232951101E-2</v>
      </c>
      <c r="D627" s="29" t="str">
        <f t="shared" si="18"/>
        <v>F</v>
      </c>
      <c r="E627" s="29" t="str">
        <f t="shared" si="19"/>
        <v>25_29</v>
      </c>
      <c r="F627" s="29">
        <f>VLOOKUP(A627,POPN!$A$1:$B$39,2,FALSE)*(1+GROWTH!C627)</f>
        <v>15599.100529280044</v>
      </c>
    </row>
    <row r="628" spans="1:6" x14ac:dyDescent="0.25">
      <c r="A628" t="s">
        <v>7</v>
      </c>
      <c r="B628">
        <v>2024</v>
      </c>
      <c r="C628">
        <v>5.9170794598629797E-3</v>
      </c>
      <c r="D628" s="29" t="str">
        <f t="shared" si="18"/>
        <v>F</v>
      </c>
      <c r="E628" s="29" t="str">
        <f t="shared" si="19"/>
        <v>25_29</v>
      </c>
      <c r="F628" s="29">
        <f>VLOOKUP(A628,POPN!$A$1:$B$39,2,FALSE)*(1+GROWTH!C628)</f>
        <v>15411.655574404562</v>
      </c>
    </row>
    <row r="629" spans="1:6" x14ac:dyDescent="0.25">
      <c r="A629" t="s">
        <v>7</v>
      </c>
      <c r="B629">
        <v>2025</v>
      </c>
      <c r="C629">
        <v>0</v>
      </c>
      <c r="D629" s="29" t="str">
        <f t="shared" si="18"/>
        <v>F</v>
      </c>
      <c r="E629" s="29" t="str">
        <f t="shared" si="19"/>
        <v>25_29</v>
      </c>
      <c r="F629" s="29">
        <f>VLOOKUP(A629,POPN!$A$1:$B$39,2,FALSE)*(1+GROWTH!C629)</f>
        <v>15321</v>
      </c>
    </row>
    <row r="630" spans="1:6" x14ac:dyDescent="0.25">
      <c r="A630" t="s">
        <v>7</v>
      </c>
      <c r="B630">
        <v>2026</v>
      </c>
      <c r="C630">
        <v>-3.9628146841283601E-3</v>
      </c>
      <c r="D630" s="29" t="str">
        <f t="shared" si="18"/>
        <v>F</v>
      </c>
      <c r="E630" s="29" t="str">
        <f t="shared" si="19"/>
        <v>25_29</v>
      </c>
      <c r="F630" s="29">
        <f>VLOOKUP(A630,POPN!$A$1:$B$39,2,FALSE)*(1+GROWTH!C630)</f>
        <v>15260.285716224469</v>
      </c>
    </row>
    <row r="631" spans="1:6" x14ac:dyDescent="0.25">
      <c r="A631" t="s">
        <v>7</v>
      </c>
      <c r="B631">
        <v>2027</v>
      </c>
      <c r="C631">
        <v>-2.22026192576509E-2</v>
      </c>
      <c r="D631" s="29" t="str">
        <f t="shared" si="18"/>
        <v>F</v>
      </c>
      <c r="E631" s="29" t="str">
        <f t="shared" si="19"/>
        <v>25_29</v>
      </c>
      <c r="F631" s="29">
        <f>VLOOKUP(A631,POPN!$A$1:$B$39,2,FALSE)*(1+GROWTH!C631)</f>
        <v>14980.833670353531</v>
      </c>
    </row>
    <row r="632" spans="1:6" x14ac:dyDescent="0.25">
      <c r="A632" t="s">
        <v>7</v>
      </c>
      <c r="B632">
        <v>2028</v>
      </c>
      <c r="C632">
        <v>-3.3195358621157703E-2</v>
      </c>
      <c r="D632" s="29" t="str">
        <f t="shared" si="18"/>
        <v>F</v>
      </c>
      <c r="E632" s="29" t="str">
        <f t="shared" si="19"/>
        <v>25_29</v>
      </c>
      <c r="F632" s="29">
        <f>VLOOKUP(A632,POPN!$A$1:$B$39,2,FALSE)*(1+GROWTH!C632)</f>
        <v>14812.413910565243</v>
      </c>
    </row>
    <row r="633" spans="1:6" x14ac:dyDescent="0.25">
      <c r="A633" t="s">
        <v>7</v>
      </c>
      <c r="B633">
        <v>2029</v>
      </c>
      <c r="C633">
        <v>-4.0354210490601901E-2</v>
      </c>
      <c r="D633" s="29" t="str">
        <f t="shared" si="18"/>
        <v>F</v>
      </c>
      <c r="E633" s="29" t="str">
        <f t="shared" si="19"/>
        <v>25_29</v>
      </c>
      <c r="F633" s="29">
        <f>VLOOKUP(A633,POPN!$A$1:$B$39,2,FALSE)*(1+GROWTH!C633)</f>
        <v>14702.733141073488</v>
      </c>
    </row>
    <row r="634" spans="1:6" x14ac:dyDescent="0.25">
      <c r="A634" t="s">
        <v>7</v>
      </c>
      <c r="B634">
        <v>2030</v>
      </c>
      <c r="C634">
        <v>-4.1629911108095302E-2</v>
      </c>
      <c r="D634" s="29" t="str">
        <f t="shared" si="18"/>
        <v>F</v>
      </c>
      <c r="E634" s="29" t="str">
        <f t="shared" si="19"/>
        <v>25_29</v>
      </c>
      <c r="F634" s="29">
        <f>VLOOKUP(A634,POPN!$A$1:$B$39,2,FALSE)*(1+GROWTH!C634)</f>
        <v>14683.188131912872</v>
      </c>
    </row>
    <row r="635" spans="1:6" x14ac:dyDescent="0.25">
      <c r="A635" t="s">
        <v>7</v>
      </c>
      <c r="B635">
        <v>2031</v>
      </c>
      <c r="C635">
        <v>-3.7178530230033202E-2</v>
      </c>
      <c r="D635" s="29" t="str">
        <f t="shared" si="18"/>
        <v>F</v>
      </c>
      <c r="E635" s="29" t="str">
        <f t="shared" si="19"/>
        <v>25_29</v>
      </c>
      <c r="F635" s="29">
        <f>VLOOKUP(A635,POPN!$A$1:$B$39,2,FALSE)*(1+GROWTH!C635)</f>
        <v>14751.387738345662</v>
      </c>
    </row>
    <row r="636" spans="1:6" x14ac:dyDescent="0.25">
      <c r="A636" t="s">
        <v>7</v>
      </c>
      <c r="B636">
        <v>2032</v>
      </c>
      <c r="C636">
        <v>-2.4448666621428999E-2</v>
      </c>
      <c r="D636" s="29" t="str">
        <f t="shared" si="18"/>
        <v>F</v>
      </c>
      <c r="E636" s="29" t="str">
        <f t="shared" si="19"/>
        <v>25_29</v>
      </c>
      <c r="F636" s="29">
        <f>VLOOKUP(A636,POPN!$A$1:$B$39,2,FALSE)*(1+GROWTH!C636)</f>
        <v>14946.421978693086</v>
      </c>
    </row>
    <row r="637" spans="1:6" x14ac:dyDescent="0.25">
      <c r="A637" t="s">
        <v>7</v>
      </c>
      <c r="B637">
        <v>2033</v>
      </c>
      <c r="C637">
        <v>-1.1359164008957E-2</v>
      </c>
      <c r="D637" s="29" t="str">
        <f t="shared" si="18"/>
        <v>F</v>
      </c>
      <c r="E637" s="29" t="str">
        <f t="shared" si="19"/>
        <v>25_29</v>
      </c>
      <c r="F637" s="29">
        <f>VLOOKUP(A637,POPN!$A$1:$B$39,2,FALSE)*(1+GROWTH!C637)</f>
        <v>15146.96624821877</v>
      </c>
    </row>
    <row r="638" spans="1:6" x14ac:dyDescent="0.25">
      <c r="A638" t="s">
        <v>7</v>
      </c>
      <c r="B638">
        <v>2034</v>
      </c>
      <c r="C638">
        <v>-5.1570876026330796E-4</v>
      </c>
      <c r="D638" s="29" t="str">
        <f t="shared" si="18"/>
        <v>F</v>
      </c>
      <c r="E638" s="29" t="str">
        <f t="shared" si="19"/>
        <v>25_29</v>
      </c>
      <c r="F638" s="29">
        <f>VLOOKUP(A638,POPN!$A$1:$B$39,2,FALSE)*(1+GROWTH!C638)</f>
        <v>15313.098826084006</v>
      </c>
    </row>
    <row r="639" spans="1:6" x14ac:dyDescent="0.25">
      <c r="A639" t="s">
        <v>7</v>
      </c>
      <c r="B639">
        <v>2035</v>
      </c>
      <c r="C639">
        <v>1.3652710863812201E-2</v>
      </c>
      <c r="D639" s="29" t="str">
        <f t="shared" si="18"/>
        <v>F</v>
      </c>
      <c r="E639" s="29" t="str">
        <f t="shared" si="19"/>
        <v>25_29</v>
      </c>
      <c r="F639" s="29">
        <f>VLOOKUP(A639,POPN!$A$1:$B$39,2,FALSE)*(1+GROWTH!C639)</f>
        <v>15530.173183144467</v>
      </c>
    </row>
    <row r="640" spans="1:6" x14ac:dyDescent="0.25">
      <c r="A640" t="s">
        <v>7</v>
      </c>
      <c r="B640">
        <v>2036</v>
      </c>
      <c r="C640">
        <v>2.9544683449820201E-2</v>
      </c>
      <c r="D640" s="29" t="str">
        <f t="shared" si="18"/>
        <v>F</v>
      </c>
      <c r="E640" s="29" t="str">
        <f t="shared" si="19"/>
        <v>25_29</v>
      </c>
      <c r="F640" s="29">
        <f>VLOOKUP(A640,POPN!$A$1:$B$39,2,FALSE)*(1+GROWTH!C640)</f>
        <v>15773.654095134696</v>
      </c>
    </row>
    <row r="641" spans="1:6" x14ac:dyDescent="0.25">
      <c r="A641" t="s">
        <v>7</v>
      </c>
      <c r="B641">
        <v>2037</v>
      </c>
      <c r="C641">
        <v>4.0876704892447602E-2</v>
      </c>
      <c r="D641" s="29" t="str">
        <f t="shared" si="18"/>
        <v>F</v>
      </c>
      <c r="E641" s="29" t="str">
        <f t="shared" si="19"/>
        <v>25_29</v>
      </c>
      <c r="F641" s="29">
        <f>VLOOKUP(A641,POPN!$A$1:$B$39,2,FALSE)*(1+GROWTH!C641)</f>
        <v>15947.271995657191</v>
      </c>
    </row>
    <row r="642" spans="1:6" x14ac:dyDescent="0.25">
      <c r="A642" t="s">
        <v>7</v>
      </c>
      <c r="B642">
        <v>2038</v>
      </c>
      <c r="C642">
        <v>3.9506005292800503E-2</v>
      </c>
      <c r="D642" s="29" t="str">
        <f t="shared" si="18"/>
        <v>F</v>
      </c>
      <c r="E642" s="29" t="str">
        <f t="shared" si="19"/>
        <v>25_29</v>
      </c>
      <c r="F642" s="29">
        <f>VLOOKUP(A642,POPN!$A$1:$B$39,2,FALSE)*(1+GROWTH!C642)</f>
        <v>15926.271507090996</v>
      </c>
    </row>
    <row r="643" spans="1:6" x14ac:dyDescent="0.25">
      <c r="A643" t="s">
        <v>7</v>
      </c>
      <c r="B643">
        <v>2039</v>
      </c>
      <c r="C643">
        <v>3.7748524122955797E-2</v>
      </c>
      <c r="D643" s="29" t="str">
        <f t="shared" ref="D643:D706" si="20">LEFT(A643,1)</f>
        <v>F</v>
      </c>
      <c r="E643" s="29" t="str">
        <f t="shared" ref="E643:E706" si="21">MID(A643,3,LEN(A643)-2)</f>
        <v>25_29</v>
      </c>
      <c r="F643" s="29">
        <f>VLOOKUP(A643,POPN!$A$1:$B$39,2,FALSE)*(1+GROWTH!C643)</f>
        <v>15899.345138087807</v>
      </c>
    </row>
    <row r="644" spans="1:6" x14ac:dyDescent="0.25">
      <c r="A644" t="s">
        <v>7</v>
      </c>
      <c r="B644">
        <v>2040</v>
      </c>
      <c r="C644">
        <v>3.1336092827576802E-2</v>
      </c>
      <c r="D644" s="29" t="str">
        <f t="shared" si="20"/>
        <v>F</v>
      </c>
      <c r="E644" s="29" t="str">
        <f t="shared" si="21"/>
        <v>25_29</v>
      </c>
      <c r="F644" s="29">
        <f>VLOOKUP(A644,POPN!$A$1:$B$39,2,FALSE)*(1+GROWTH!C644)</f>
        <v>15801.100278211303</v>
      </c>
    </row>
    <row r="645" spans="1:6" x14ac:dyDescent="0.25">
      <c r="A645" t="s">
        <v>7</v>
      </c>
      <c r="B645">
        <v>2041</v>
      </c>
      <c r="C645">
        <v>2.4224740449209501E-2</v>
      </c>
      <c r="D645" s="29" t="str">
        <f t="shared" si="20"/>
        <v>F</v>
      </c>
      <c r="E645" s="29" t="str">
        <f t="shared" si="21"/>
        <v>25_29</v>
      </c>
      <c r="F645" s="29">
        <f>VLOOKUP(A645,POPN!$A$1:$B$39,2,FALSE)*(1+GROWTH!C645)</f>
        <v>15692.14724842234</v>
      </c>
    </row>
    <row r="646" spans="1:6" x14ac:dyDescent="0.25">
      <c r="A646" t="s">
        <v>7</v>
      </c>
      <c r="B646">
        <v>2042</v>
      </c>
      <c r="C646">
        <v>1.1956300468209301E-2</v>
      </c>
      <c r="D646" s="29" t="str">
        <f t="shared" si="20"/>
        <v>F</v>
      </c>
      <c r="E646" s="29" t="str">
        <f t="shared" si="21"/>
        <v>25_29</v>
      </c>
      <c r="F646" s="29">
        <f>VLOOKUP(A646,POPN!$A$1:$B$39,2,FALSE)*(1+GROWTH!C646)</f>
        <v>15504.182479473435</v>
      </c>
    </row>
    <row r="647" spans="1:6" x14ac:dyDescent="0.25">
      <c r="A647" t="s">
        <v>7</v>
      </c>
      <c r="B647">
        <v>2043</v>
      </c>
      <c r="C647">
        <v>3.16210897740384E-3</v>
      </c>
      <c r="D647" s="29" t="str">
        <f t="shared" si="20"/>
        <v>F</v>
      </c>
      <c r="E647" s="29" t="str">
        <f t="shared" si="21"/>
        <v>25_29</v>
      </c>
      <c r="F647" s="29">
        <f>VLOOKUP(A647,POPN!$A$1:$B$39,2,FALSE)*(1+GROWTH!C647)</f>
        <v>15369.446671642805</v>
      </c>
    </row>
    <row r="648" spans="1:6" x14ac:dyDescent="0.25">
      <c r="A648" t="s">
        <v>7</v>
      </c>
      <c r="B648">
        <v>2044</v>
      </c>
      <c r="C648">
        <v>-5.6388681549840803E-3</v>
      </c>
      <c r="D648" s="29" t="str">
        <f t="shared" si="20"/>
        <v>F</v>
      </c>
      <c r="E648" s="29" t="str">
        <f t="shared" si="21"/>
        <v>25_29</v>
      </c>
      <c r="F648" s="29">
        <f>VLOOKUP(A648,POPN!$A$1:$B$39,2,FALSE)*(1+GROWTH!C648)</f>
        <v>15234.606900997489</v>
      </c>
    </row>
    <row r="649" spans="1:6" x14ac:dyDescent="0.25">
      <c r="A649" t="s">
        <v>7</v>
      </c>
      <c r="B649">
        <v>2045</v>
      </c>
      <c r="C649">
        <v>-1.5145552011942801E-2</v>
      </c>
      <c r="D649" s="29" t="str">
        <f t="shared" si="20"/>
        <v>F</v>
      </c>
      <c r="E649" s="29" t="str">
        <f t="shared" si="21"/>
        <v>25_29</v>
      </c>
      <c r="F649" s="29">
        <f>VLOOKUP(A649,POPN!$A$1:$B$39,2,FALSE)*(1+GROWTH!C649)</f>
        <v>15088.954997625024</v>
      </c>
    </row>
    <row r="650" spans="1:6" x14ac:dyDescent="0.25">
      <c r="A650" t="s">
        <v>7</v>
      </c>
      <c r="B650">
        <v>2046</v>
      </c>
      <c r="C650">
        <v>-3.1648232340367802E-2</v>
      </c>
      <c r="D650" s="29" t="str">
        <f t="shared" si="20"/>
        <v>F</v>
      </c>
      <c r="E650" s="29" t="str">
        <f t="shared" si="21"/>
        <v>25_29</v>
      </c>
      <c r="F650" s="29">
        <f>VLOOKUP(A650,POPN!$A$1:$B$39,2,FALSE)*(1+GROWTH!C650)</f>
        <v>14836.117432313224</v>
      </c>
    </row>
    <row r="651" spans="1:6" x14ac:dyDescent="0.25">
      <c r="A651" t="s">
        <v>7</v>
      </c>
      <c r="B651">
        <v>2047</v>
      </c>
      <c r="C651">
        <v>-4.2932754291918299E-2</v>
      </c>
      <c r="D651" s="29" t="str">
        <f t="shared" si="20"/>
        <v>F</v>
      </c>
      <c r="E651" s="29" t="str">
        <f t="shared" si="21"/>
        <v>25_29</v>
      </c>
      <c r="F651" s="29">
        <f>VLOOKUP(A651,POPN!$A$1:$B$39,2,FALSE)*(1+GROWTH!C651)</f>
        <v>14663.227271493519</v>
      </c>
    </row>
    <row r="652" spans="1:6" x14ac:dyDescent="0.25">
      <c r="A652" t="s">
        <v>8</v>
      </c>
      <c r="B652">
        <v>2022</v>
      </c>
      <c r="C652">
        <v>-2.48601615910508E-3</v>
      </c>
      <c r="D652" s="29" t="str">
        <f t="shared" si="20"/>
        <v>F</v>
      </c>
      <c r="E652" s="29" t="str">
        <f t="shared" si="21"/>
        <v>30_34</v>
      </c>
      <c r="F652" s="29">
        <f>VLOOKUP(A652,POPN!$A$1:$B$39,2,FALSE)*(1+GROWTH!C652)</f>
        <v>17952.259167184588</v>
      </c>
    </row>
    <row r="653" spans="1:6" x14ac:dyDescent="0.25">
      <c r="A653" t="s">
        <v>8</v>
      </c>
      <c r="B653">
        <v>2023</v>
      </c>
      <c r="C653">
        <v>2.1407361370071498E-3</v>
      </c>
      <c r="D653" s="29" t="str">
        <f t="shared" si="20"/>
        <v>F</v>
      </c>
      <c r="E653" s="29" t="str">
        <f t="shared" si="21"/>
        <v>30_34</v>
      </c>
      <c r="F653" s="29">
        <f>VLOOKUP(A653,POPN!$A$1:$B$39,2,FALSE)*(1+GROWTH!C653)</f>
        <v>18035.526828257716</v>
      </c>
    </row>
    <row r="654" spans="1:6" x14ac:dyDescent="0.25">
      <c r="A654" t="s">
        <v>8</v>
      </c>
      <c r="B654">
        <v>2024</v>
      </c>
      <c r="C654">
        <v>9.6333126165318791E-3</v>
      </c>
      <c r="D654" s="29" t="str">
        <f t="shared" si="20"/>
        <v>F</v>
      </c>
      <c r="E654" s="29" t="str">
        <f t="shared" si="21"/>
        <v>30_34</v>
      </c>
      <c r="F654" s="29">
        <f>VLOOKUP(A654,POPN!$A$1:$B$39,2,FALSE)*(1+GROWTH!C654)</f>
        <v>18170.370727159723</v>
      </c>
    </row>
    <row r="655" spans="1:6" x14ac:dyDescent="0.25">
      <c r="A655" t="s">
        <v>8</v>
      </c>
      <c r="B655">
        <v>2025</v>
      </c>
      <c r="C655">
        <v>0</v>
      </c>
      <c r="D655" s="29" t="str">
        <f t="shared" si="20"/>
        <v>F</v>
      </c>
      <c r="E655" s="29" t="str">
        <f t="shared" si="21"/>
        <v>30_34</v>
      </c>
      <c r="F655" s="29">
        <f>VLOOKUP(A655,POPN!$A$1:$B$39,2,FALSE)*(1+GROWTH!C655)</f>
        <v>17997</v>
      </c>
    </row>
    <row r="656" spans="1:6" x14ac:dyDescent="0.25">
      <c r="A656" t="s">
        <v>8</v>
      </c>
      <c r="B656">
        <v>2026</v>
      </c>
      <c r="C656">
        <v>-1.2631494141749E-2</v>
      </c>
      <c r="D656" s="29" t="str">
        <f t="shared" si="20"/>
        <v>F</v>
      </c>
      <c r="E656" s="29" t="str">
        <f t="shared" si="21"/>
        <v>30_34</v>
      </c>
      <c r="F656" s="29">
        <f>VLOOKUP(A656,POPN!$A$1:$B$39,2,FALSE)*(1+GROWTH!C656)</f>
        <v>17769.670999930942</v>
      </c>
    </row>
    <row r="657" spans="1:6" x14ac:dyDescent="0.25">
      <c r="A657" t="s">
        <v>8</v>
      </c>
      <c r="B657">
        <v>2027</v>
      </c>
      <c r="C657">
        <v>-2.2984140137651699E-2</v>
      </c>
      <c r="D657" s="29" t="str">
        <f t="shared" si="20"/>
        <v>F</v>
      </c>
      <c r="E657" s="29" t="str">
        <f t="shared" si="21"/>
        <v>30_34</v>
      </c>
      <c r="F657" s="29">
        <f>VLOOKUP(A657,POPN!$A$1:$B$39,2,FALSE)*(1+GROWTH!C657)</f>
        <v>17583.354429942683</v>
      </c>
    </row>
    <row r="658" spans="1:6" x14ac:dyDescent="0.25">
      <c r="A658" t="s">
        <v>8</v>
      </c>
      <c r="B658">
        <v>2028</v>
      </c>
      <c r="C658">
        <v>-2.3502060170798599E-2</v>
      </c>
      <c r="D658" s="29" t="str">
        <f t="shared" si="20"/>
        <v>F</v>
      </c>
      <c r="E658" s="29" t="str">
        <f t="shared" si="21"/>
        <v>30_34</v>
      </c>
      <c r="F658" s="29">
        <f>VLOOKUP(A658,POPN!$A$1:$B$39,2,FALSE)*(1+GROWTH!C658)</f>
        <v>17574.033423106139</v>
      </c>
    </row>
    <row r="659" spans="1:6" x14ac:dyDescent="0.25">
      <c r="A659" t="s">
        <v>8</v>
      </c>
      <c r="B659">
        <v>2029</v>
      </c>
      <c r="C659">
        <v>-3.69852450337224E-2</v>
      </c>
      <c r="D659" s="29" t="str">
        <f t="shared" si="20"/>
        <v>F</v>
      </c>
      <c r="E659" s="29" t="str">
        <f t="shared" si="21"/>
        <v>30_34</v>
      </c>
      <c r="F659" s="29">
        <f>VLOOKUP(A659,POPN!$A$1:$B$39,2,FALSE)*(1+GROWTH!C659)</f>
        <v>17331.3765451281</v>
      </c>
    </row>
    <row r="660" spans="1:6" x14ac:dyDescent="0.25">
      <c r="A660" t="s">
        <v>8</v>
      </c>
      <c r="B660">
        <v>2030</v>
      </c>
      <c r="C660">
        <v>-4.20608613585619E-2</v>
      </c>
      <c r="D660" s="29" t="str">
        <f t="shared" si="20"/>
        <v>F</v>
      </c>
      <c r="E660" s="29" t="str">
        <f t="shared" si="21"/>
        <v>30_34</v>
      </c>
      <c r="F660" s="29">
        <f>VLOOKUP(A660,POPN!$A$1:$B$39,2,FALSE)*(1+GROWTH!C660)</f>
        <v>17240.030678129962</v>
      </c>
    </row>
    <row r="661" spans="1:6" x14ac:dyDescent="0.25">
      <c r="A661" t="s">
        <v>8</v>
      </c>
      <c r="B661">
        <v>2031</v>
      </c>
      <c r="C661">
        <v>-4.47022535276108E-2</v>
      </c>
      <c r="D661" s="29" t="str">
        <f t="shared" si="20"/>
        <v>F</v>
      </c>
      <c r="E661" s="29" t="str">
        <f t="shared" si="21"/>
        <v>30_34</v>
      </c>
      <c r="F661" s="29">
        <f>VLOOKUP(A661,POPN!$A$1:$B$39,2,FALSE)*(1+GROWTH!C661)</f>
        <v>17192.493543263587</v>
      </c>
    </row>
    <row r="662" spans="1:6" x14ac:dyDescent="0.25">
      <c r="A662" t="s">
        <v>8</v>
      </c>
      <c r="B662">
        <v>2032</v>
      </c>
      <c r="C662">
        <v>-5.7828649034366901E-2</v>
      </c>
      <c r="D662" s="29" t="str">
        <f t="shared" si="20"/>
        <v>F</v>
      </c>
      <c r="E662" s="29" t="str">
        <f t="shared" si="21"/>
        <v>30_34</v>
      </c>
      <c r="F662" s="29">
        <f>VLOOKUP(A662,POPN!$A$1:$B$39,2,FALSE)*(1+GROWTH!C662)</f>
        <v>16956.257803328499</v>
      </c>
    </row>
    <row r="663" spans="1:6" x14ac:dyDescent="0.25">
      <c r="A663" t="s">
        <v>8</v>
      </c>
      <c r="B663">
        <v>2033</v>
      </c>
      <c r="C663">
        <v>-6.5695278871164497E-2</v>
      </c>
      <c r="D663" s="29" t="str">
        <f t="shared" si="20"/>
        <v>F</v>
      </c>
      <c r="E663" s="29" t="str">
        <f t="shared" si="21"/>
        <v>30_34</v>
      </c>
      <c r="F663" s="29">
        <f>VLOOKUP(A663,POPN!$A$1:$B$39,2,FALSE)*(1+GROWTH!C663)</f>
        <v>16814.682066155652</v>
      </c>
    </row>
    <row r="664" spans="1:6" x14ac:dyDescent="0.25">
      <c r="A664" t="s">
        <v>8</v>
      </c>
      <c r="B664">
        <v>2034</v>
      </c>
      <c r="C664">
        <v>-6.9970996478143893E-2</v>
      </c>
      <c r="D664" s="29" t="str">
        <f t="shared" si="20"/>
        <v>F</v>
      </c>
      <c r="E664" s="29" t="str">
        <f t="shared" si="21"/>
        <v>30_34</v>
      </c>
      <c r="F664" s="29">
        <f>VLOOKUP(A664,POPN!$A$1:$B$39,2,FALSE)*(1+GROWTH!C664)</f>
        <v>16737.731976382845</v>
      </c>
    </row>
    <row r="665" spans="1:6" x14ac:dyDescent="0.25">
      <c r="A665" t="s">
        <v>8</v>
      </c>
      <c r="B665">
        <v>2035</v>
      </c>
      <c r="C665">
        <v>-6.9499113781276697E-2</v>
      </c>
      <c r="D665" s="29" t="str">
        <f t="shared" si="20"/>
        <v>F</v>
      </c>
      <c r="E665" s="29" t="str">
        <f t="shared" si="21"/>
        <v>30_34</v>
      </c>
      <c r="F665" s="29">
        <f>VLOOKUP(A665,POPN!$A$1:$B$39,2,FALSE)*(1+GROWTH!C665)</f>
        <v>16746.224449278365</v>
      </c>
    </row>
    <row r="666" spans="1:6" x14ac:dyDescent="0.25">
      <c r="A666" t="s">
        <v>8</v>
      </c>
      <c r="B666">
        <v>2036</v>
      </c>
      <c r="C666">
        <v>-6.4319913449807795E-2</v>
      </c>
      <c r="D666" s="29" t="str">
        <f t="shared" si="20"/>
        <v>F</v>
      </c>
      <c r="E666" s="29" t="str">
        <f t="shared" si="21"/>
        <v>30_34</v>
      </c>
      <c r="F666" s="29">
        <f>VLOOKUP(A666,POPN!$A$1:$B$39,2,FALSE)*(1+GROWTH!C666)</f>
        <v>16839.434517643807</v>
      </c>
    </row>
    <row r="667" spans="1:6" x14ac:dyDescent="0.25">
      <c r="A667" t="s">
        <v>8</v>
      </c>
      <c r="B667">
        <v>2037</v>
      </c>
      <c r="C667">
        <v>-5.2701240706212703E-2</v>
      </c>
      <c r="D667" s="29" t="str">
        <f t="shared" si="20"/>
        <v>F</v>
      </c>
      <c r="E667" s="29" t="str">
        <f t="shared" si="21"/>
        <v>30_34</v>
      </c>
      <c r="F667" s="29">
        <f>VLOOKUP(A667,POPN!$A$1:$B$39,2,FALSE)*(1+GROWTH!C667)</f>
        <v>17048.535771010291</v>
      </c>
    </row>
    <row r="668" spans="1:6" x14ac:dyDescent="0.25">
      <c r="A668" t="s">
        <v>8</v>
      </c>
      <c r="B668">
        <v>2038</v>
      </c>
      <c r="C668">
        <v>-3.95978638675967E-2</v>
      </c>
      <c r="D668" s="29" t="str">
        <f t="shared" si="20"/>
        <v>F</v>
      </c>
      <c r="E668" s="29" t="str">
        <f t="shared" si="21"/>
        <v>30_34</v>
      </c>
      <c r="F668" s="29">
        <f>VLOOKUP(A668,POPN!$A$1:$B$39,2,FALSE)*(1+GROWTH!C668)</f>
        <v>17284.357243974864</v>
      </c>
    </row>
    <row r="669" spans="1:6" x14ac:dyDescent="0.25">
      <c r="A669" t="s">
        <v>8</v>
      </c>
      <c r="B669">
        <v>2039</v>
      </c>
      <c r="C669">
        <v>-2.9394839214603001E-2</v>
      </c>
      <c r="D669" s="29" t="str">
        <f t="shared" si="20"/>
        <v>F</v>
      </c>
      <c r="E669" s="29" t="str">
        <f t="shared" si="21"/>
        <v>30_34</v>
      </c>
      <c r="F669" s="29">
        <f>VLOOKUP(A669,POPN!$A$1:$B$39,2,FALSE)*(1+GROWTH!C669)</f>
        <v>17467.98107865479</v>
      </c>
    </row>
    <row r="670" spans="1:6" x14ac:dyDescent="0.25">
      <c r="A670" t="s">
        <v>8</v>
      </c>
      <c r="B670">
        <v>2040</v>
      </c>
      <c r="C670">
        <v>-1.6435329051861201E-2</v>
      </c>
      <c r="D670" s="29" t="str">
        <f t="shared" si="20"/>
        <v>F</v>
      </c>
      <c r="E670" s="29" t="str">
        <f t="shared" si="21"/>
        <v>30_34</v>
      </c>
      <c r="F670" s="29">
        <f>VLOOKUP(A670,POPN!$A$1:$B$39,2,FALSE)*(1+GROWTH!C670)</f>
        <v>17701.213383053655</v>
      </c>
    </row>
    <row r="671" spans="1:6" x14ac:dyDescent="0.25">
      <c r="A671" t="s">
        <v>8</v>
      </c>
      <c r="B671">
        <v>2041</v>
      </c>
      <c r="C671">
        <v>-1.6515894390350999E-3</v>
      </c>
      <c r="D671" s="29" t="str">
        <f t="shared" si="20"/>
        <v>F</v>
      </c>
      <c r="E671" s="29" t="str">
        <f t="shared" si="21"/>
        <v>30_34</v>
      </c>
      <c r="F671" s="29">
        <f>VLOOKUP(A671,POPN!$A$1:$B$39,2,FALSE)*(1+GROWTH!C671)</f>
        <v>17967.276344865684</v>
      </c>
    </row>
    <row r="672" spans="1:6" x14ac:dyDescent="0.25">
      <c r="A672" t="s">
        <v>8</v>
      </c>
      <c r="B672">
        <v>2042</v>
      </c>
      <c r="C672">
        <v>9.1671845866997705E-3</v>
      </c>
      <c r="D672" s="29" t="str">
        <f t="shared" si="20"/>
        <v>F</v>
      </c>
      <c r="E672" s="29" t="str">
        <f t="shared" si="21"/>
        <v>30_34</v>
      </c>
      <c r="F672" s="29">
        <f>VLOOKUP(A672,POPN!$A$1:$B$39,2,FALSE)*(1+GROWTH!C672)</f>
        <v>18161.981821006837</v>
      </c>
    </row>
    <row r="673" spans="1:6" x14ac:dyDescent="0.25">
      <c r="A673" t="s">
        <v>8</v>
      </c>
      <c r="B673">
        <v>2043</v>
      </c>
      <c r="C673">
        <v>8.3557765347697394E-3</v>
      </c>
      <c r="D673" s="29" t="str">
        <f t="shared" si="20"/>
        <v>F</v>
      </c>
      <c r="E673" s="29" t="str">
        <f t="shared" si="21"/>
        <v>30_34</v>
      </c>
      <c r="F673" s="29">
        <f>VLOOKUP(A673,POPN!$A$1:$B$39,2,FALSE)*(1+GROWTH!C673)</f>
        <v>18147.378910296251</v>
      </c>
    </row>
    <row r="674" spans="1:6" x14ac:dyDescent="0.25">
      <c r="A674" t="s">
        <v>8</v>
      </c>
      <c r="B674">
        <v>2044</v>
      </c>
      <c r="C674">
        <v>6.5315470846856799E-3</v>
      </c>
      <c r="D674" s="29" t="str">
        <f t="shared" si="20"/>
        <v>F</v>
      </c>
      <c r="E674" s="29" t="str">
        <f t="shared" si="21"/>
        <v>30_34</v>
      </c>
      <c r="F674" s="29">
        <f>VLOOKUP(A674,POPN!$A$1:$B$39,2,FALSE)*(1+GROWTH!C674)</f>
        <v>18114.548252883087</v>
      </c>
    </row>
    <row r="675" spans="1:6" x14ac:dyDescent="0.25">
      <c r="A675" t="s">
        <v>8</v>
      </c>
      <c r="B675">
        <v>2045</v>
      </c>
      <c r="C675">
        <v>9.2650139262933902E-4</v>
      </c>
      <c r="D675" s="29" t="str">
        <f t="shared" si="20"/>
        <v>F</v>
      </c>
      <c r="E675" s="29" t="str">
        <f t="shared" si="21"/>
        <v>30_34</v>
      </c>
      <c r="F675" s="29">
        <f>VLOOKUP(A675,POPN!$A$1:$B$39,2,FALSE)*(1+GROWTH!C675)</f>
        <v>18013.67424556315</v>
      </c>
    </row>
    <row r="676" spans="1:6" x14ac:dyDescent="0.25">
      <c r="A676" t="s">
        <v>8</v>
      </c>
      <c r="B676">
        <v>2046</v>
      </c>
      <c r="C676">
        <v>-5.5187256865318604E-3</v>
      </c>
      <c r="D676" s="29" t="str">
        <f t="shared" si="20"/>
        <v>F</v>
      </c>
      <c r="E676" s="29" t="str">
        <f t="shared" si="21"/>
        <v>30_34</v>
      </c>
      <c r="F676" s="29">
        <f>VLOOKUP(A676,POPN!$A$1:$B$39,2,FALSE)*(1+GROWTH!C676)</f>
        <v>17897.679493819487</v>
      </c>
    </row>
    <row r="677" spans="1:6" x14ac:dyDescent="0.25">
      <c r="A677" t="s">
        <v>8</v>
      </c>
      <c r="B677">
        <v>2047</v>
      </c>
      <c r="C677">
        <v>-1.6625233064015001E-2</v>
      </c>
      <c r="D677" s="29" t="str">
        <f t="shared" si="20"/>
        <v>F</v>
      </c>
      <c r="E677" s="29" t="str">
        <f t="shared" si="21"/>
        <v>30_34</v>
      </c>
      <c r="F677" s="29">
        <f>VLOOKUP(A677,POPN!$A$1:$B$39,2,FALSE)*(1+GROWTH!C677)</f>
        <v>17697.795680546922</v>
      </c>
    </row>
    <row r="678" spans="1:6" x14ac:dyDescent="0.25">
      <c r="A678" t="s">
        <v>9</v>
      </c>
      <c r="B678">
        <v>2022</v>
      </c>
      <c r="C678">
        <v>-0.107716868379609</v>
      </c>
      <c r="D678" s="29" t="str">
        <f t="shared" si="20"/>
        <v>F</v>
      </c>
      <c r="E678" s="29" t="str">
        <f t="shared" si="21"/>
        <v>35_39</v>
      </c>
      <c r="F678" s="29">
        <f>VLOOKUP(A678,POPN!$A$1:$B$39,2,FALSE)*(1+GROWTH!C678)</f>
        <v>17185.37311500873</v>
      </c>
    </row>
    <row r="679" spans="1:6" x14ac:dyDescent="0.25">
      <c r="A679" t="s">
        <v>9</v>
      </c>
      <c r="B679">
        <v>2023</v>
      </c>
      <c r="C679">
        <v>-6.9326688671715E-2</v>
      </c>
      <c r="D679" s="29" t="str">
        <f t="shared" si="20"/>
        <v>F</v>
      </c>
      <c r="E679" s="29" t="str">
        <f t="shared" si="21"/>
        <v>35_39</v>
      </c>
      <c r="F679" s="29">
        <f>VLOOKUP(A679,POPN!$A$1:$B$39,2,FALSE)*(1+GROWTH!C679)</f>
        <v>17924.767976182768</v>
      </c>
    </row>
    <row r="680" spans="1:6" x14ac:dyDescent="0.25">
      <c r="A680" t="s">
        <v>9</v>
      </c>
      <c r="B680">
        <v>2024</v>
      </c>
      <c r="C680">
        <v>-2.88870191789098E-2</v>
      </c>
      <c r="D680" s="29" t="str">
        <f t="shared" si="20"/>
        <v>F</v>
      </c>
      <c r="E680" s="29" t="str">
        <f t="shared" si="21"/>
        <v>35_39</v>
      </c>
      <c r="F680" s="29">
        <f>VLOOKUP(A680,POPN!$A$1:$B$39,2,FALSE)*(1+GROWTH!C680)</f>
        <v>18703.636010614198</v>
      </c>
    </row>
    <row r="681" spans="1:6" x14ac:dyDescent="0.25">
      <c r="A681" t="s">
        <v>9</v>
      </c>
      <c r="B681">
        <v>2025</v>
      </c>
      <c r="C681">
        <v>0</v>
      </c>
      <c r="D681" s="29" t="str">
        <f t="shared" si="20"/>
        <v>F</v>
      </c>
      <c r="E681" s="29" t="str">
        <f t="shared" si="21"/>
        <v>35_39</v>
      </c>
      <c r="F681" s="29">
        <f>VLOOKUP(A681,POPN!$A$1:$B$39,2,FALSE)*(1+GROWTH!C681)</f>
        <v>19260</v>
      </c>
    </row>
    <row r="682" spans="1:6" x14ac:dyDescent="0.25">
      <c r="A682" t="s">
        <v>9</v>
      </c>
      <c r="B682">
        <v>2026</v>
      </c>
      <c r="C682">
        <v>2.1789312450111099E-2</v>
      </c>
      <c r="D682" s="29" t="str">
        <f t="shared" si="20"/>
        <v>F</v>
      </c>
      <c r="E682" s="29" t="str">
        <f t="shared" si="21"/>
        <v>35_39</v>
      </c>
      <c r="F682" s="29">
        <f>VLOOKUP(A682,POPN!$A$1:$B$39,2,FALSE)*(1+GROWTH!C682)</f>
        <v>19679.662157789142</v>
      </c>
    </row>
    <row r="683" spans="1:6" x14ac:dyDescent="0.25">
      <c r="A683" t="s">
        <v>9</v>
      </c>
      <c r="B683">
        <v>2027</v>
      </c>
      <c r="C683">
        <v>4.0596077923759001E-2</v>
      </c>
      <c r="D683" s="29" t="str">
        <f t="shared" si="20"/>
        <v>F</v>
      </c>
      <c r="E683" s="29" t="str">
        <f t="shared" si="21"/>
        <v>35_39</v>
      </c>
      <c r="F683" s="29">
        <f>VLOOKUP(A683,POPN!$A$1:$B$39,2,FALSE)*(1+GROWTH!C683)</f>
        <v>20041.880460811601</v>
      </c>
    </row>
    <row r="684" spans="1:6" x14ac:dyDescent="0.25">
      <c r="A684" t="s">
        <v>9</v>
      </c>
      <c r="B684">
        <v>2028</v>
      </c>
      <c r="C684">
        <v>3.9021206825879701E-2</v>
      </c>
      <c r="D684" s="29" t="str">
        <f t="shared" si="20"/>
        <v>F</v>
      </c>
      <c r="E684" s="29" t="str">
        <f t="shared" si="21"/>
        <v>35_39</v>
      </c>
      <c r="F684" s="29">
        <f>VLOOKUP(A684,POPN!$A$1:$B$39,2,FALSE)*(1+GROWTH!C684)</f>
        <v>20011.548443466443</v>
      </c>
    </row>
    <row r="685" spans="1:6" x14ac:dyDescent="0.25">
      <c r="A685" t="s">
        <v>9</v>
      </c>
      <c r="B685">
        <v>2029</v>
      </c>
      <c r="C685">
        <v>4.1507561538627398E-2</v>
      </c>
      <c r="D685" s="29" t="str">
        <f t="shared" si="20"/>
        <v>F</v>
      </c>
      <c r="E685" s="29" t="str">
        <f t="shared" si="21"/>
        <v>35_39</v>
      </c>
      <c r="F685" s="29">
        <f>VLOOKUP(A685,POPN!$A$1:$B$39,2,FALSE)*(1+GROWTH!C685)</f>
        <v>20059.435635233964</v>
      </c>
    </row>
    <row r="686" spans="1:6" x14ac:dyDescent="0.25">
      <c r="A686" t="s">
        <v>9</v>
      </c>
      <c r="B686">
        <v>2030</v>
      </c>
      <c r="C686">
        <v>3.3309602398981598E-2</v>
      </c>
      <c r="D686" s="29" t="str">
        <f t="shared" si="20"/>
        <v>F</v>
      </c>
      <c r="E686" s="29" t="str">
        <f t="shared" si="21"/>
        <v>35_39</v>
      </c>
      <c r="F686" s="29">
        <f>VLOOKUP(A686,POPN!$A$1:$B$39,2,FALSE)*(1+GROWTH!C686)</f>
        <v>19901.542942204385</v>
      </c>
    </row>
    <row r="687" spans="1:6" x14ac:dyDescent="0.25">
      <c r="A687" t="s">
        <v>9</v>
      </c>
      <c r="B687">
        <v>2031</v>
      </c>
      <c r="C687">
        <v>2.3234742087890701E-2</v>
      </c>
      <c r="D687" s="29" t="str">
        <f t="shared" si="20"/>
        <v>F</v>
      </c>
      <c r="E687" s="29" t="str">
        <f t="shared" si="21"/>
        <v>35_39</v>
      </c>
      <c r="F687" s="29">
        <f>VLOOKUP(A687,POPN!$A$1:$B$39,2,FALSE)*(1+GROWTH!C687)</f>
        <v>19707.501132612775</v>
      </c>
    </row>
    <row r="688" spans="1:6" x14ac:dyDescent="0.25">
      <c r="A688" t="s">
        <v>9</v>
      </c>
      <c r="B688">
        <v>2032</v>
      </c>
      <c r="C688">
        <v>1.61640023299463E-2</v>
      </c>
      <c r="D688" s="29" t="str">
        <f t="shared" si="20"/>
        <v>F</v>
      </c>
      <c r="E688" s="29" t="str">
        <f t="shared" si="21"/>
        <v>35_39</v>
      </c>
      <c r="F688" s="29">
        <f>VLOOKUP(A688,POPN!$A$1:$B$39,2,FALSE)*(1+GROWTH!C688)</f>
        <v>19571.318684874765</v>
      </c>
    </row>
    <row r="689" spans="1:6" x14ac:dyDescent="0.25">
      <c r="A689" t="s">
        <v>9</v>
      </c>
      <c r="B689">
        <v>2033</v>
      </c>
      <c r="C689">
        <v>1.6627834228636701E-2</v>
      </c>
      <c r="D689" s="29" t="str">
        <f t="shared" si="20"/>
        <v>F</v>
      </c>
      <c r="E689" s="29" t="str">
        <f t="shared" si="21"/>
        <v>35_39</v>
      </c>
      <c r="F689" s="29">
        <f>VLOOKUP(A689,POPN!$A$1:$B$39,2,FALSE)*(1+GROWTH!C689)</f>
        <v>19580.252087243545</v>
      </c>
    </row>
    <row r="690" spans="1:6" x14ac:dyDescent="0.25">
      <c r="A690" t="s">
        <v>9</v>
      </c>
      <c r="B690">
        <v>2034</v>
      </c>
      <c r="C690">
        <v>5.8410458869975696E-3</v>
      </c>
      <c r="D690" s="29" t="str">
        <f t="shared" si="20"/>
        <v>F</v>
      </c>
      <c r="E690" s="29" t="str">
        <f t="shared" si="21"/>
        <v>35_39</v>
      </c>
      <c r="F690" s="29">
        <f>VLOOKUP(A690,POPN!$A$1:$B$39,2,FALSE)*(1+GROWTH!C690)</f>
        <v>19372.498543783571</v>
      </c>
    </row>
    <row r="691" spans="1:6" x14ac:dyDescent="0.25">
      <c r="A691" t="s">
        <v>9</v>
      </c>
      <c r="B691">
        <v>2035</v>
      </c>
      <c r="C691">
        <v>1.1973335059219899E-3</v>
      </c>
      <c r="D691" s="29" t="str">
        <f t="shared" si="20"/>
        <v>F</v>
      </c>
      <c r="E691" s="29" t="str">
        <f t="shared" si="21"/>
        <v>35_39</v>
      </c>
      <c r="F691" s="29">
        <f>VLOOKUP(A691,POPN!$A$1:$B$39,2,FALSE)*(1+GROWTH!C691)</f>
        <v>19283.060643324054</v>
      </c>
    </row>
    <row r="692" spans="1:6" x14ac:dyDescent="0.25">
      <c r="A692" t="s">
        <v>9</v>
      </c>
      <c r="B692">
        <v>2036</v>
      </c>
      <c r="C692">
        <v>-1.64498522209997E-3</v>
      </c>
      <c r="D692" s="29" t="str">
        <f t="shared" si="20"/>
        <v>F</v>
      </c>
      <c r="E692" s="29" t="str">
        <f t="shared" si="21"/>
        <v>35_39</v>
      </c>
      <c r="F692" s="29">
        <f>VLOOKUP(A692,POPN!$A$1:$B$39,2,FALSE)*(1+GROWTH!C692)</f>
        <v>19228.317584622353</v>
      </c>
    </row>
    <row r="693" spans="1:6" x14ac:dyDescent="0.25">
      <c r="A693" t="s">
        <v>9</v>
      </c>
      <c r="B693">
        <v>2037</v>
      </c>
      <c r="C693">
        <v>-1.39149569607145E-2</v>
      </c>
      <c r="D693" s="29" t="str">
        <f t="shared" si="20"/>
        <v>F</v>
      </c>
      <c r="E693" s="29" t="str">
        <f t="shared" si="21"/>
        <v>35_39</v>
      </c>
      <c r="F693" s="29">
        <f>VLOOKUP(A693,POPN!$A$1:$B$39,2,FALSE)*(1+GROWTH!C693)</f>
        <v>18991.997928936638</v>
      </c>
    </row>
    <row r="694" spans="1:6" x14ac:dyDescent="0.25">
      <c r="A694" t="s">
        <v>9</v>
      </c>
      <c r="B694">
        <v>2038</v>
      </c>
      <c r="C694">
        <v>-2.10827778137338E-2</v>
      </c>
      <c r="D694" s="29" t="str">
        <f t="shared" si="20"/>
        <v>F</v>
      </c>
      <c r="E694" s="29" t="str">
        <f t="shared" si="21"/>
        <v>35_39</v>
      </c>
      <c r="F694" s="29">
        <f>VLOOKUP(A694,POPN!$A$1:$B$39,2,FALSE)*(1+GROWTH!C694)</f>
        <v>18853.945699307485</v>
      </c>
    </row>
    <row r="695" spans="1:6" x14ac:dyDescent="0.25">
      <c r="A695" t="s">
        <v>9</v>
      </c>
      <c r="B695">
        <v>2039</v>
      </c>
      <c r="C695">
        <v>-2.4329601104567201E-2</v>
      </c>
      <c r="D695" s="29" t="str">
        <f t="shared" si="20"/>
        <v>F</v>
      </c>
      <c r="E695" s="29" t="str">
        <f t="shared" si="21"/>
        <v>35_39</v>
      </c>
      <c r="F695" s="29">
        <f>VLOOKUP(A695,POPN!$A$1:$B$39,2,FALSE)*(1+GROWTH!C695)</f>
        <v>18791.411882726035</v>
      </c>
    </row>
    <row r="696" spans="1:6" x14ac:dyDescent="0.25">
      <c r="A696" t="s">
        <v>9</v>
      </c>
      <c r="B696">
        <v>2040</v>
      </c>
      <c r="C696">
        <v>-2.29866459560331E-2</v>
      </c>
      <c r="D696" s="29" t="str">
        <f t="shared" si="20"/>
        <v>F</v>
      </c>
      <c r="E696" s="29" t="str">
        <f t="shared" si="21"/>
        <v>35_39</v>
      </c>
      <c r="F696" s="29">
        <f>VLOOKUP(A696,POPN!$A$1:$B$39,2,FALSE)*(1+GROWTH!C696)</f>
        <v>18817.277198886804</v>
      </c>
    </row>
    <row r="697" spans="1:6" x14ac:dyDescent="0.25">
      <c r="A697" t="s">
        <v>9</v>
      </c>
      <c r="B697">
        <v>2041</v>
      </c>
      <c r="C697">
        <v>-1.7275041529135102E-2</v>
      </c>
      <c r="D697" s="29" t="str">
        <f t="shared" si="20"/>
        <v>F</v>
      </c>
      <c r="E697" s="29" t="str">
        <f t="shared" si="21"/>
        <v>35_39</v>
      </c>
      <c r="F697" s="29">
        <f>VLOOKUP(A697,POPN!$A$1:$B$39,2,FALSE)*(1+GROWTH!C697)</f>
        <v>18927.282700148859</v>
      </c>
    </row>
    <row r="698" spans="1:6" x14ac:dyDescent="0.25">
      <c r="A698" t="s">
        <v>9</v>
      </c>
      <c r="B698">
        <v>2042</v>
      </c>
      <c r="C698">
        <v>-5.61991672599404E-3</v>
      </c>
      <c r="D698" s="29" t="str">
        <f t="shared" si="20"/>
        <v>F</v>
      </c>
      <c r="E698" s="29" t="str">
        <f t="shared" si="21"/>
        <v>35_39</v>
      </c>
      <c r="F698" s="29">
        <f>VLOOKUP(A698,POPN!$A$1:$B$39,2,FALSE)*(1+GROWTH!C698)</f>
        <v>19151.760403857355</v>
      </c>
    </row>
    <row r="699" spans="1:6" x14ac:dyDescent="0.25">
      <c r="A699" t="s">
        <v>9</v>
      </c>
      <c r="B699">
        <v>2043</v>
      </c>
      <c r="C699">
        <v>8.2734666580371197E-3</v>
      </c>
      <c r="D699" s="29" t="str">
        <f t="shared" si="20"/>
        <v>F</v>
      </c>
      <c r="E699" s="29" t="str">
        <f t="shared" si="21"/>
        <v>35_39</v>
      </c>
      <c r="F699" s="29">
        <f>VLOOKUP(A699,POPN!$A$1:$B$39,2,FALSE)*(1+GROWTH!C699)</f>
        <v>19419.346967833793</v>
      </c>
    </row>
    <row r="700" spans="1:6" x14ac:dyDescent="0.25">
      <c r="A700" t="s">
        <v>9</v>
      </c>
      <c r="B700">
        <v>2044</v>
      </c>
      <c r="C700">
        <v>1.8650357042694101E-2</v>
      </c>
      <c r="D700" s="29" t="str">
        <f t="shared" si="20"/>
        <v>F</v>
      </c>
      <c r="E700" s="29" t="str">
        <f t="shared" si="21"/>
        <v>35_39</v>
      </c>
      <c r="F700" s="29">
        <f>VLOOKUP(A700,POPN!$A$1:$B$39,2,FALSE)*(1+GROWTH!C700)</f>
        <v>19619.205876642289</v>
      </c>
    </row>
    <row r="701" spans="1:6" x14ac:dyDescent="0.25">
      <c r="A701" t="s">
        <v>9</v>
      </c>
      <c r="B701">
        <v>2045</v>
      </c>
      <c r="C701">
        <v>3.1626863417685898E-2</v>
      </c>
      <c r="D701" s="29" t="str">
        <f t="shared" si="20"/>
        <v>F</v>
      </c>
      <c r="E701" s="29" t="str">
        <f t="shared" si="21"/>
        <v>35_39</v>
      </c>
      <c r="F701" s="29">
        <f>VLOOKUP(A701,POPN!$A$1:$B$39,2,FALSE)*(1+GROWTH!C701)</f>
        <v>19869.133389424631</v>
      </c>
    </row>
    <row r="702" spans="1:6" x14ac:dyDescent="0.25">
      <c r="A702" t="s">
        <v>9</v>
      </c>
      <c r="B702">
        <v>2046</v>
      </c>
      <c r="C702">
        <v>4.6566565270856099E-2</v>
      </c>
      <c r="D702" s="29" t="str">
        <f t="shared" si="20"/>
        <v>F</v>
      </c>
      <c r="E702" s="29" t="str">
        <f t="shared" si="21"/>
        <v>35_39</v>
      </c>
      <c r="F702" s="29">
        <f>VLOOKUP(A702,POPN!$A$1:$B$39,2,FALSE)*(1+GROWTH!C702)</f>
        <v>20156.872047116685</v>
      </c>
    </row>
    <row r="703" spans="1:6" x14ac:dyDescent="0.25">
      <c r="A703" t="s">
        <v>9</v>
      </c>
      <c r="B703">
        <v>2047</v>
      </c>
      <c r="C703">
        <v>5.7639203503548897E-2</v>
      </c>
      <c r="D703" s="29" t="str">
        <f t="shared" si="20"/>
        <v>F</v>
      </c>
      <c r="E703" s="29" t="str">
        <f t="shared" si="21"/>
        <v>35_39</v>
      </c>
      <c r="F703" s="29">
        <f>VLOOKUP(A703,POPN!$A$1:$B$39,2,FALSE)*(1+GROWTH!C703)</f>
        <v>20370.131059478354</v>
      </c>
    </row>
    <row r="704" spans="1:6" x14ac:dyDescent="0.25">
      <c r="A704" t="s">
        <v>10</v>
      </c>
      <c r="B704">
        <v>2022</v>
      </c>
      <c r="C704">
        <v>-6.5541594479011395E-2</v>
      </c>
      <c r="D704" s="29" t="str">
        <f t="shared" si="20"/>
        <v>F</v>
      </c>
      <c r="E704" s="29" t="str">
        <f t="shared" si="21"/>
        <v>40_44</v>
      </c>
      <c r="F704" s="29">
        <f>VLOOKUP(A704,POPN!$A$1:$B$39,2,FALSE)*(1+GROWTH!C704)</f>
        <v>16808.103340106023</v>
      </c>
    </row>
    <row r="705" spans="1:6" x14ac:dyDescent="0.25">
      <c r="A705" t="s">
        <v>10</v>
      </c>
      <c r="B705">
        <v>2023</v>
      </c>
      <c r="C705">
        <v>-3.6417113222859898E-2</v>
      </c>
      <c r="D705" s="29" t="str">
        <f t="shared" si="20"/>
        <v>F</v>
      </c>
      <c r="E705" s="29" t="str">
        <f t="shared" si="21"/>
        <v>40_44</v>
      </c>
      <c r="F705" s="29">
        <f>VLOOKUP(A705,POPN!$A$1:$B$39,2,FALSE)*(1+GROWTH!C705)</f>
        <v>17331.965384460418</v>
      </c>
    </row>
    <row r="706" spans="1:6" x14ac:dyDescent="0.25">
      <c r="A706" t="s">
        <v>10</v>
      </c>
      <c r="B706">
        <v>2024</v>
      </c>
      <c r="C706">
        <v>-1.9034517690532299E-2</v>
      </c>
      <c r="D706" s="29" t="str">
        <f t="shared" si="20"/>
        <v>F</v>
      </c>
      <c r="E706" s="29" t="str">
        <f t="shared" si="21"/>
        <v>40_44</v>
      </c>
      <c r="F706" s="29">
        <f>VLOOKUP(A706,POPN!$A$1:$B$39,2,FALSE)*(1+GROWTH!C706)</f>
        <v>17644.626130300396</v>
      </c>
    </row>
    <row r="707" spans="1:6" x14ac:dyDescent="0.25">
      <c r="A707" t="s">
        <v>10</v>
      </c>
      <c r="B707">
        <v>2025</v>
      </c>
      <c r="C707">
        <v>0</v>
      </c>
      <c r="D707" s="29" t="str">
        <f t="shared" ref="D707:D770" si="22">LEFT(A707,1)</f>
        <v>F</v>
      </c>
      <c r="E707" s="29" t="str">
        <f t="shared" ref="E707:E770" si="23">MID(A707,3,LEN(A707)-2)</f>
        <v>40_44</v>
      </c>
      <c r="F707" s="29">
        <f>VLOOKUP(A707,POPN!$A$1:$B$39,2,FALSE)*(1+GROWTH!C707)</f>
        <v>17987</v>
      </c>
    </row>
    <row r="708" spans="1:6" x14ac:dyDescent="0.25">
      <c r="A708" t="s">
        <v>10</v>
      </c>
      <c r="B708">
        <v>2026</v>
      </c>
      <c r="C708">
        <v>7.7703655525305504E-3</v>
      </c>
      <c r="D708" s="29" t="str">
        <f t="shared" si="22"/>
        <v>F</v>
      </c>
      <c r="E708" s="29" t="str">
        <f t="shared" si="23"/>
        <v>40_44</v>
      </c>
      <c r="F708" s="29">
        <f>VLOOKUP(A708,POPN!$A$1:$B$39,2,FALSE)*(1+GROWTH!C708)</f>
        <v>18126.765565193367</v>
      </c>
    </row>
    <row r="709" spans="1:6" x14ac:dyDescent="0.25">
      <c r="A709" t="s">
        <v>10</v>
      </c>
      <c r="B709">
        <v>2027</v>
      </c>
      <c r="C709">
        <v>3.8719443756943001E-2</v>
      </c>
      <c r="D709" s="29" t="str">
        <f t="shared" si="22"/>
        <v>F</v>
      </c>
      <c r="E709" s="29" t="str">
        <f t="shared" si="23"/>
        <v>40_44</v>
      </c>
      <c r="F709" s="29">
        <f>VLOOKUP(A709,POPN!$A$1:$B$39,2,FALSE)*(1+GROWTH!C709)</f>
        <v>18683.446634856133</v>
      </c>
    </row>
    <row r="710" spans="1:6" x14ac:dyDescent="0.25">
      <c r="A710" t="s">
        <v>10</v>
      </c>
      <c r="B710">
        <v>2028</v>
      </c>
      <c r="C710">
        <v>7.4958126363411301E-2</v>
      </c>
      <c r="D710" s="29" t="str">
        <f t="shared" si="22"/>
        <v>F</v>
      </c>
      <c r="E710" s="29" t="str">
        <f t="shared" si="23"/>
        <v>40_44</v>
      </c>
      <c r="F710" s="29">
        <f>VLOOKUP(A710,POPN!$A$1:$B$39,2,FALSE)*(1+GROWTH!C710)</f>
        <v>19335.27181889868</v>
      </c>
    </row>
    <row r="711" spans="1:6" x14ac:dyDescent="0.25">
      <c r="A711" t="s">
        <v>10</v>
      </c>
      <c r="B711">
        <v>2029</v>
      </c>
      <c r="C711">
        <v>0.113654546815013</v>
      </c>
      <c r="D711" s="29" t="str">
        <f t="shared" si="22"/>
        <v>F</v>
      </c>
      <c r="E711" s="29" t="str">
        <f t="shared" si="23"/>
        <v>40_44</v>
      </c>
      <c r="F711" s="29">
        <f>VLOOKUP(A711,POPN!$A$1:$B$39,2,FALSE)*(1+GROWTH!C711)</f>
        <v>20031.304333561638</v>
      </c>
    </row>
    <row r="712" spans="1:6" x14ac:dyDescent="0.25">
      <c r="A712" t="s">
        <v>10</v>
      </c>
      <c r="B712">
        <v>2030</v>
      </c>
      <c r="C712">
        <v>0.14392443751187101</v>
      </c>
      <c r="D712" s="29" t="str">
        <f t="shared" si="22"/>
        <v>F</v>
      </c>
      <c r="E712" s="29" t="str">
        <f t="shared" si="23"/>
        <v>40_44</v>
      </c>
      <c r="F712" s="29">
        <f>VLOOKUP(A712,POPN!$A$1:$B$39,2,FALSE)*(1+GROWTH!C712)</f>
        <v>20575.768857526022</v>
      </c>
    </row>
    <row r="713" spans="1:6" x14ac:dyDescent="0.25">
      <c r="A713" t="s">
        <v>10</v>
      </c>
      <c r="B713">
        <v>2031</v>
      </c>
      <c r="C713">
        <v>0.16818524551477201</v>
      </c>
      <c r="D713" s="29" t="str">
        <f t="shared" si="22"/>
        <v>F</v>
      </c>
      <c r="E713" s="29" t="str">
        <f t="shared" si="23"/>
        <v>40_44</v>
      </c>
      <c r="F713" s="29">
        <f>VLOOKUP(A713,POPN!$A$1:$B$39,2,FALSE)*(1+GROWTH!C713)</f>
        <v>21012.148011074205</v>
      </c>
    </row>
    <row r="714" spans="1:6" x14ac:dyDescent="0.25">
      <c r="A714" t="s">
        <v>10</v>
      </c>
      <c r="B714">
        <v>2032</v>
      </c>
      <c r="C714">
        <v>0.18849755665172099</v>
      </c>
      <c r="D714" s="29" t="str">
        <f t="shared" si="22"/>
        <v>F</v>
      </c>
      <c r="E714" s="29" t="str">
        <f t="shared" si="23"/>
        <v>40_44</v>
      </c>
      <c r="F714" s="29">
        <f>VLOOKUP(A714,POPN!$A$1:$B$39,2,FALSE)*(1+GROWTH!C714)</f>
        <v>21377.505551494505</v>
      </c>
    </row>
    <row r="715" spans="1:6" x14ac:dyDescent="0.25">
      <c r="A715" t="s">
        <v>10</v>
      </c>
      <c r="B715">
        <v>2033</v>
      </c>
      <c r="C715">
        <v>0.18784714827584201</v>
      </c>
      <c r="D715" s="29" t="str">
        <f t="shared" si="22"/>
        <v>F</v>
      </c>
      <c r="E715" s="29" t="str">
        <f t="shared" si="23"/>
        <v>40_44</v>
      </c>
      <c r="F715" s="29">
        <f>VLOOKUP(A715,POPN!$A$1:$B$39,2,FALSE)*(1+GROWTH!C715)</f>
        <v>21365.80665603757</v>
      </c>
    </row>
    <row r="716" spans="1:6" x14ac:dyDescent="0.25">
      <c r="A716" t="s">
        <v>10</v>
      </c>
      <c r="B716">
        <v>2034</v>
      </c>
      <c r="C716">
        <v>0.19105889937088799</v>
      </c>
      <c r="D716" s="29" t="str">
        <f t="shared" si="22"/>
        <v>F</v>
      </c>
      <c r="E716" s="29" t="str">
        <f t="shared" si="23"/>
        <v>40_44</v>
      </c>
      <c r="F716" s="29">
        <f>VLOOKUP(A716,POPN!$A$1:$B$39,2,FALSE)*(1+GROWTH!C716)</f>
        <v>21423.576422984162</v>
      </c>
    </row>
    <row r="717" spans="1:6" x14ac:dyDescent="0.25">
      <c r="A717" t="s">
        <v>10</v>
      </c>
      <c r="B717">
        <v>2035</v>
      </c>
      <c r="C717">
        <v>0.183018009980603</v>
      </c>
      <c r="D717" s="29" t="str">
        <f t="shared" si="22"/>
        <v>F</v>
      </c>
      <c r="E717" s="29" t="str">
        <f t="shared" si="23"/>
        <v>40_44</v>
      </c>
      <c r="F717" s="29">
        <f>VLOOKUP(A717,POPN!$A$1:$B$39,2,FALSE)*(1+GROWTH!C717)</f>
        <v>21278.944945521103</v>
      </c>
    </row>
    <row r="718" spans="1:6" x14ac:dyDescent="0.25">
      <c r="A718" t="s">
        <v>10</v>
      </c>
      <c r="B718">
        <v>2036</v>
      </c>
      <c r="C718">
        <v>0.172646010924558</v>
      </c>
      <c r="D718" s="29" t="str">
        <f t="shared" si="22"/>
        <v>F</v>
      </c>
      <c r="E718" s="29" t="str">
        <f t="shared" si="23"/>
        <v>40_44</v>
      </c>
      <c r="F718" s="29">
        <f>VLOOKUP(A718,POPN!$A$1:$B$39,2,FALSE)*(1+GROWTH!C718)</f>
        <v>21092.383798500025</v>
      </c>
    </row>
    <row r="719" spans="1:6" x14ac:dyDescent="0.25">
      <c r="A719" t="s">
        <v>10</v>
      </c>
      <c r="B719">
        <v>2037</v>
      </c>
      <c r="C719">
        <v>0.166141927165774</v>
      </c>
      <c r="D719" s="29" t="str">
        <f t="shared" si="22"/>
        <v>F</v>
      </c>
      <c r="E719" s="29" t="str">
        <f t="shared" si="23"/>
        <v>40_44</v>
      </c>
      <c r="F719" s="29">
        <f>VLOOKUP(A719,POPN!$A$1:$B$39,2,FALSE)*(1+GROWTH!C719)</f>
        <v>20975.394843930779</v>
      </c>
    </row>
    <row r="720" spans="1:6" x14ac:dyDescent="0.25">
      <c r="A720" t="s">
        <v>10</v>
      </c>
      <c r="B720">
        <v>2038</v>
      </c>
      <c r="C720">
        <v>0.16673477727829999</v>
      </c>
      <c r="D720" s="29" t="str">
        <f t="shared" si="22"/>
        <v>F</v>
      </c>
      <c r="E720" s="29" t="str">
        <f t="shared" si="23"/>
        <v>40_44</v>
      </c>
      <c r="F720" s="29">
        <f>VLOOKUP(A720,POPN!$A$1:$B$39,2,FALSE)*(1+GROWTH!C720)</f>
        <v>20986.05843890478</v>
      </c>
    </row>
    <row r="721" spans="1:6" x14ac:dyDescent="0.25">
      <c r="A721" t="s">
        <v>10</v>
      </c>
      <c r="B721">
        <v>2039</v>
      </c>
      <c r="C721">
        <v>0.156322487437909</v>
      </c>
      <c r="D721" s="29" t="str">
        <f t="shared" si="22"/>
        <v>F</v>
      </c>
      <c r="E721" s="29" t="str">
        <f t="shared" si="23"/>
        <v>40_44</v>
      </c>
      <c r="F721" s="29">
        <f>VLOOKUP(A721,POPN!$A$1:$B$39,2,FALSE)*(1+GROWTH!C721)</f>
        <v>20798.772581545669</v>
      </c>
    </row>
    <row r="722" spans="1:6" x14ac:dyDescent="0.25">
      <c r="A722" t="s">
        <v>10</v>
      </c>
      <c r="B722">
        <v>2040</v>
      </c>
      <c r="C722">
        <v>0.151383988442301</v>
      </c>
      <c r="D722" s="29" t="str">
        <f t="shared" si="22"/>
        <v>F</v>
      </c>
      <c r="E722" s="29" t="str">
        <f t="shared" si="23"/>
        <v>40_44</v>
      </c>
      <c r="F722" s="29">
        <f>VLOOKUP(A722,POPN!$A$1:$B$39,2,FALSE)*(1+GROWTH!C722)</f>
        <v>20709.943800111669</v>
      </c>
    </row>
    <row r="723" spans="1:6" x14ac:dyDescent="0.25">
      <c r="A723" t="s">
        <v>10</v>
      </c>
      <c r="B723">
        <v>2041</v>
      </c>
      <c r="C723">
        <v>0.14794200429384599</v>
      </c>
      <c r="D723" s="29" t="str">
        <f t="shared" si="22"/>
        <v>F</v>
      </c>
      <c r="E723" s="29" t="str">
        <f t="shared" si="23"/>
        <v>40_44</v>
      </c>
      <c r="F723" s="29">
        <f>VLOOKUP(A723,POPN!$A$1:$B$39,2,FALSE)*(1+GROWTH!C723)</f>
        <v>20648.032831233406</v>
      </c>
    </row>
    <row r="724" spans="1:6" x14ac:dyDescent="0.25">
      <c r="A724" t="s">
        <v>10</v>
      </c>
      <c r="B724">
        <v>2042</v>
      </c>
      <c r="C724">
        <v>0.13472087120187401</v>
      </c>
      <c r="D724" s="29" t="str">
        <f t="shared" si="22"/>
        <v>F</v>
      </c>
      <c r="E724" s="29" t="str">
        <f t="shared" si="23"/>
        <v>40_44</v>
      </c>
      <c r="F724" s="29">
        <f>VLOOKUP(A724,POPN!$A$1:$B$39,2,FALSE)*(1+GROWTH!C724)</f>
        <v>20410.224310308105</v>
      </c>
    </row>
    <row r="725" spans="1:6" x14ac:dyDescent="0.25">
      <c r="A725" t="s">
        <v>10</v>
      </c>
      <c r="B725">
        <v>2043</v>
      </c>
      <c r="C725">
        <v>0.127111668786729</v>
      </c>
      <c r="D725" s="29" t="str">
        <f t="shared" si="22"/>
        <v>F</v>
      </c>
      <c r="E725" s="29" t="str">
        <f t="shared" si="23"/>
        <v>40_44</v>
      </c>
      <c r="F725" s="29">
        <f>VLOOKUP(A725,POPN!$A$1:$B$39,2,FALSE)*(1+GROWTH!C725)</f>
        <v>20273.357586466896</v>
      </c>
    </row>
    <row r="726" spans="1:6" x14ac:dyDescent="0.25">
      <c r="A726" t="s">
        <v>10</v>
      </c>
      <c r="B726">
        <v>2044</v>
      </c>
      <c r="C726">
        <v>0.124222243966455</v>
      </c>
      <c r="D726" s="29" t="str">
        <f t="shared" si="22"/>
        <v>F</v>
      </c>
      <c r="E726" s="29" t="str">
        <f t="shared" si="23"/>
        <v>40_44</v>
      </c>
      <c r="F726" s="29">
        <f>VLOOKUP(A726,POPN!$A$1:$B$39,2,FALSE)*(1+GROWTH!C726)</f>
        <v>20221.385502224628</v>
      </c>
    </row>
    <row r="727" spans="1:6" x14ac:dyDescent="0.25">
      <c r="A727" t="s">
        <v>10</v>
      </c>
      <c r="B727">
        <v>2045</v>
      </c>
      <c r="C727">
        <v>0.126340388057812</v>
      </c>
      <c r="D727" s="29" t="str">
        <f t="shared" si="22"/>
        <v>F</v>
      </c>
      <c r="E727" s="29" t="str">
        <f t="shared" si="23"/>
        <v>40_44</v>
      </c>
      <c r="F727" s="29">
        <f>VLOOKUP(A727,POPN!$A$1:$B$39,2,FALSE)*(1+GROWTH!C727)</f>
        <v>20259.484559995864</v>
      </c>
    </row>
    <row r="728" spans="1:6" x14ac:dyDescent="0.25">
      <c r="A728" t="s">
        <v>10</v>
      </c>
      <c r="B728">
        <v>2046</v>
      </c>
      <c r="C728">
        <v>0.13305743739099901</v>
      </c>
      <c r="D728" s="29" t="str">
        <f t="shared" si="22"/>
        <v>F</v>
      </c>
      <c r="E728" s="29" t="str">
        <f t="shared" si="23"/>
        <v>40_44</v>
      </c>
      <c r="F728" s="29">
        <f>VLOOKUP(A728,POPN!$A$1:$B$39,2,FALSE)*(1+GROWTH!C728)</f>
        <v>20380.304126351897</v>
      </c>
    </row>
    <row r="729" spans="1:6" x14ac:dyDescent="0.25">
      <c r="A729" t="s">
        <v>10</v>
      </c>
      <c r="B729">
        <v>2047</v>
      </c>
      <c r="C729">
        <v>0.14615194230359699</v>
      </c>
      <c r="D729" s="29" t="str">
        <f t="shared" si="22"/>
        <v>F</v>
      </c>
      <c r="E729" s="29" t="str">
        <f t="shared" si="23"/>
        <v>40_44</v>
      </c>
      <c r="F729" s="29">
        <f>VLOOKUP(A729,POPN!$A$1:$B$39,2,FALSE)*(1+GROWTH!C729)</f>
        <v>20615.834986214799</v>
      </c>
    </row>
    <row r="730" spans="1:6" x14ac:dyDescent="0.25">
      <c r="A730" t="s">
        <v>11</v>
      </c>
      <c r="B730">
        <v>2022</v>
      </c>
      <c r="C730">
        <v>1.68189243148406E-2</v>
      </c>
      <c r="D730" s="29" t="str">
        <f t="shared" si="22"/>
        <v>F</v>
      </c>
      <c r="E730" s="29" t="str">
        <f t="shared" si="23"/>
        <v>45_49</v>
      </c>
      <c r="F730" s="29">
        <f>VLOOKUP(A730,POPN!$A$1:$B$39,2,FALSE)*(1+GROWTH!C730)</f>
        <v>17155.768891039992</v>
      </c>
    </row>
    <row r="731" spans="1:6" x14ac:dyDescent="0.25">
      <c r="A731" t="s">
        <v>11</v>
      </c>
      <c r="B731">
        <v>2023</v>
      </c>
      <c r="C731">
        <v>-6.8727690725390901E-3</v>
      </c>
      <c r="D731" s="29" t="str">
        <f t="shared" si="22"/>
        <v>F</v>
      </c>
      <c r="E731" s="29" t="str">
        <f t="shared" si="23"/>
        <v>45_49</v>
      </c>
      <c r="F731" s="29">
        <f>VLOOKUP(A731,POPN!$A$1:$B$39,2,FALSE)*(1+GROWTH!C731)</f>
        <v>16756.042640208121</v>
      </c>
    </row>
    <row r="732" spans="1:6" x14ac:dyDescent="0.25">
      <c r="A732" t="s">
        <v>11</v>
      </c>
      <c r="B732">
        <v>2024</v>
      </c>
      <c r="C732">
        <v>-8.4155121301953302E-3</v>
      </c>
      <c r="D732" s="29" t="str">
        <f t="shared" si="22"/>
        <v>F</v>
      </c>
      <c r="E732" s="29" t="str">
        <f t="shared" si="23"/>
        <v>45_49</v>
      </c>
      <c r="F732" s="29">
        <f>VLOOKUP(A732,POPN!$A$1:$B$39,2,FALSE)*(1+GROWTH!C732)</f>
        <v>16730.013479339344</v>
      </c>
    </row>
    <row r="733" spans="1:6" x14ac:dyDescent="0.25">
      <c r="A733" t="s">
        <v>11</v>
      </c>
      <c r="B733">
        <v>2025</v>
      </c>
      <c r="C733">
        <v>0</v>
      </c>
      <c r="D733" s="29" t="str">
        <f t="shared" si="22"/>
        <v>F</v>
      </c>
      <c r="E733" s="29" t="str">
        <f t="shared" si="23"/>
        <v>45_49</v>
      </c>
      <c r="F733" s="29">
        <f>VLOOKUP(A733,POPN!$A$1:$B$39,2,FALSE)*(1+GROWTH!C733)</f>
        <v>16872</v>
      </c>
    </row>
    <row r="734" spans="1:6" x14ac:dyDescent="0.25">
      <c r="A734" t="s">
        <v>11</v>
      </c>
      <c r="B734">
        <v>2026</v>
      </c>
      <c r="C734">
        <v>3.4351745417145599E-2</v>
      </c>
      <c r="D734" s="29" t="str">
        <f t="shared" si="22"/>
        <v>F</v>
      </c>
      <c r="E734" s="29" t="str">
        <f t="shared" si="23"/>
        <v>45_49</v>
      </c>
      <c r="F734" s="29">
        <f>VLOOKUP(A734,POPN!$A$1:$B$39,2,FALSE)*(1+GROWTH!C734)</f>
        <v>17451.582648678079</v>
      </c>
    </row>
    <row r="735" spans="1:6" x14ac:dyDescent="0.25">
      <c r="A735" t="s">
        <v>11</v>
      </c>
      <c r="B735">
        <v>2027</v>
      </c>
      <c r="C735">
        <v>5.61981971081131E-2</v>
      </c>
      <c r="D735" s="29" t="str">
        <f t="shared" si="22"/>
        <v>F</v>
      </c>
      <c r="E735" s="29" t="str">
        <f t="shared" si="23"/>
        <v>45_49</v>
      </c>
      <c r="F735" s="29">
        <f>VLOOKUP(A735,POPN!$A$1:$B$39,2,FALSE)*(1+GROWTH!C735)</f>
        <v>17820.175981608085</v>
      </c>
    </row>
    <row r="736" spans="1:6" x14ac:dyDescent="0.25">
      <c r="A736" t="s">
        <v>11</v>
      </c>
      <c r="B736">
        <v>2028</v>
      </c>
      <c r="C736">
        <v>8.4990017544920998E-2</v>
      </c>
      <c r="D736" s="29" t="str">
        <f t="shared" si="22"/>
        <v>F</v>
      </c>
      <c r="E736" s="29" t="str">
        <f t="shared" si="23"/>
        <v>45_49</v>
      </c>
      <c r="F736" s="29">
        <f>VLOOKUP(A736,POPN!$A$1:$B$39,2,FALSE)*(1+GROWTH!C736)</f>
        <v>18305.951576017906</v>
      </c>
    </row>
    <row r="737" spans="1:6" x14ac:dyDescent="0.25">
      <c r="A737" t="s">
        <v>11</v>
      </c>
      <c r="B737">
        <v>2029</v>
      </c>
      <c r="C737">
        <v>0.101627442676508</v>
      </c>
      <c r="D737" s="29" t="str">
        <f t="shared" si="22"/>
        <v>F</v>
      </c>
      <c r="E737" s="29" t="str">
        <f t="shared" si="23"/>
        <v>45_49</v>
      </c>
      <c r="F737" s="29">
        <f>VLOOKUP(A737,POPN!$A$1:$B$39,2,FALSE)*(1+GROWTH!C737)</f>
        <v>18586.658212838043</v>
      </c>
    </row>
    <row r="738" spans="1:6" x14ac:dyDescent="0.25">
      <c r="A738" t="s">
        <v>11</v>
      </c>
      <c r="B738">
        <v>2030</v>
      </c>
      <c r="C738">
        <v>0.12097525561135</v>
      </c>
      <c r="D738" s="29" t="str">
        <f t="shared" si="22"/>
        <v>F</v>
      </c>
      <c r="E738" s="29" t="str">
        <f t="shared" si="23"/>
        <v>45_49</v>
      </c>
      <c r="F738" s="29">
        <f>VLOOKUP(A738,POPN!$A$1:$B$39,2,FALSE)*(1+GROWTH!C738)</f>
        <v>18913.094512674696</v>
      </c>
    </row>
    <row r="739" spans="1:6" x14ac:dyDescent="0.25">
      <c r="A739" t="s">
        <v>11</v>
      </c>
      <c r="B739">
        <v>2031</v>
      </c>
      <c r="C739">
        <v>0.13070361183374701</v>
      </c>
      <c r="D739" s="29" t="str">
        <f t="shared" si="22"/>
        <v>F</v>
      </c>
      <c r="E739" s="29" t="str">
        <f t="shared" si="23"/>
        <v>45_49</v>
      </c>
      <c r="F739" s="29">
        <f>VLOOKUP(A739,POPN!$A$1:$B$39,2,FALSE)*(1+GROWTH!C739)</f>
        <v>19077.231338858979</v>
      </c>
    </row>
    <row r="740" spans="1:6" x14ac:dyDescent="0.25">
      <c r="A740" t="s">
        <v>11</v>
      </c>
      <c r="B740">
        <v>2032</v>
      </c>
      <c r="C740">
        <v>0.163319015064432</v>
      </c>
      <c r="D740" s="29" t="str">
        <f t="shared" si="22"/>
        <v>F</v>
      </c>
      <c r="E740" s="29" t="str">
        <f t="shared" si="23"/>
        <v>45_49</v>
      </c>
      <c r="F740" s="29">
        <f>VLOOKUP(A740,POPN!$A$1:$B$39,2,FALSE)*(1+GROWTH!C740)</f>
        <v>19627.518422167097</v>
      </c>
    </row>
    <row r="741" spans="1:6" x14ac:dyDescent="0.25">
      <c r="A741" t="s">
        <v>11</v>
      </c>
      <c r="B741">
        <v>2033</v>
      </c>
      <c r="C741">
        <v>0.20159114283985699</v>
      </c>
      <c r="D741" s="29" t="str">
        <f t="shared" si="22"/>
        <v>F</v>
      </c>
      <c r="E741" s="29" t="str">
        <f t="shared" si="23"/>
        <v>45_49</v>
      </c>
      <c r="F741" s="29">
        <f>VLOOKUP(A741,POPN!$A$1:$B$39,2,FALSE)*(1+GROWTH!C741)</f>
        <v>20273.245761994065</v>
      </c>
    </row>
    <row r="742" spans="1:6" x14ac:dyDescent="0.25">
      <c r="A742" t="s">
        <v>11</v>
      </c>
      <c r="B742">
        <v>2034</v>
      </c>
      <c r="C742">
        <v>0.241557262992317</v>
      </c>
      <c r="D742" s="29" t="str">
        <f t="shared" si="22"/>
        <v>F</v>
      </c>
      <c r="E742" s="29" t="str">
        <f t="shared" si="23"/>
        <v>45_49</v>
      </c>
      <c r="F742" s="29">
        <f>VLOOKUP(A742,POPN!$A$1:$B$39,2,FALSE)*(1+GROWTH!C742)</f>
        <v>20947.554141206372</v>
      </c>
    </row>
    <row r="743" spans="1:6" x14ac:dyDescent="0.25">
      <c r="A743" t="s">
        <v>11</v>
      </c>
      <c r="B743">
        <v>2035</v>
      </c>
      <c r="C743">
        <v>0.27322282049730801</v>
      </c>
      <c r="D743" s="29" t="str">
        <f t="shared" si="22"/>
        <v>F</v>
      </c>
      <c r="E743" s="29" t="str">
        <f t="shared" si="23"/>
        <v>45_49</v>
      </c>
      <c r="F743" s="29">
        <f>VLOOKUP(A743,POPN!$A$1:$B$39,2,FALSE)*(1+GROWTH!C743)</f>
        <v>21481.815427430578</v>
      </c>
    </row>
    <row r="744" spans="1:6" x14ac:dyDescent="0.25">
      <c r="A744" t="s">
        <v>11</v>
      </c>
      <c r="B744">
        <v>2036</v>
      </c>
      <c r="C744">
        <v>0.29906225421985599</v>
      </c>
      <c r="D744" s="29" t="str">
        <f t="shared" si="22"/>
        <v>F</v>
      </c>
      <c r="E744" s="29" t="str">
        <f t="shared" si="23"/>
        <v>45_49</v>
      </c>
      <c r="F744" s="29">
        <f>VLOOKUP(A744,POPN!$A$1:$B$39,2,FALSE)*(1+GROWTH!C744)</f>
        <v>21917.778353197409</v>
      </c>
    </row>
    <row r="745" spans="1:6" x14ac:dyDescent="0.25">
      <c r="A745" t="s">
        <v>11</v>
      </c>
      <c r="B745">
        <v>2037</v>
      </c>
      <c r="C745">
        <v>0.32012220945005698</v>
      </c>
      <c r="D745" s="29" t="str">
        <f t="shared" si="22"/>
        <v>F</v>
      </c>
      <c r="E745" s="29" t="str">
        <f t="shared" si="23"/>
        <v>45_49</v>
      </c>
      <c r="F745" s="29">
        <f>VLOOKUP(A745,POPN!$A$1:$B$39,2,FALSE)*(1+GROWTH!C745)</f>
        <v>22273.101917841359</v>
      </c>
    </row>
    <row r="746" spans="1:6" x14ac:dyDescent="0.25">
      <c r="A746" t="s">
        <v>11</v>
      </c>
      <c r="B746">
        <v>2038</v>
      </c>
      <c r="C746">
        <v>0.31980761086575099</v>
      </c>
      <c r="D746" s="29" t="str">
        <f t="shared" si="22"/>
        <v>F</v>
      </c>
      <c r="E746" s="29" t="str">
        <f t="shared" si="23"/>
        <v>45_49</v>
      </c>
      <c r="F746" s="29">
        <f>VLOOKUP(A746,POPN!$A$1:$B$39,2,FALSE)*(1+GROWTH!C746)</f>
        <v>22267.794010526952</v>
      </c>
    </row>
    <row r="747" spans="1:6" x14ac:dyDescent="0.25">
      <c r="A747" t="s">
        <v>11</v>
      </c>
      <c r="B747">
        <v>2039</v>
      </c>
      <c r="C747">
        <v>0.32357674390465302</v>
      </c>
      <c r="D747" s="29" t="str">
        <f t="shared" si="22"/>
        <v>F</v>
      </c>
      <c r="E747" s="29" t="str">
        <f t="shared" si="23"/>
        <v>45_49</v>
      </c>
      <c r="F747" s="29">
        <f>VLOOKUP(A747,POPN!$A$1:$B$39,2,FALSE)*(1+GROWTH!C747)</f>
        <v>22331.386823159308</v>
      </c>
    </row>
    <row r="748" spans="1:6" x14ac:dyDescent="0.25">
      <c r="A748" t="s">
        <v>11</v>
      </c>
      <c r="B748">
        <v>2040</v>
      </c>
      <c r="C748">
        <v>0.315584729868716</v>
      </c>
      <c r="D748" s="29" t="str">
        <f t="shared" si="22"/>
        <v>F</v>
      </c>
      <c r="E748" s="29" t="str">
        <f t="shared" si="23"/>
        <v>45_49</v>
      </c>
      <c r="F748" s="29">
        <f>VLOOKUP(A748,POPN!$A$1:$B$39,2,FALSE)*(1+GROWTH!C748)</f>
        <v>22196.545562344978</v>
      </c>
    </row>
    <row r="749" spans="1:6" x14ac:dyDescent="0.25">
      <c r="A749" t="s">
        <v>11</v>
      </c>
      <c r="B749">
        <v>2041</v>
      </c>
      <c r="C749">
        <v>0.304858128138423</v>
      </c>
      <c r="D749" s="29" t="str">
        <f t="shared" si="22"/>
        <v>F</v>
      </c>
      <c r="E749" s="29" t="str">
        <f t="shared" si="23"/>
        <v>45_49</v>
      </c>
      <c r="F749" s="29">
        <f>VLOOKUP(A749,POPN!$A$1:$B$39,2,FALSE)*(1+GROWTH!C749)</f>
        <v>22015.566337951474</v>
      </c>
    </row>
    <row r="750" spans="1:6" x14ac:dyDescent="0.25">
      <c r="A750" t="s">
        <v>11</v>
      </c>
      <c r="B750">
        <v>2042</v>
      </c>
      <c r="C750">
        <v>0.298699255853349</v>
      </c>
      <c r="D750" s="29" t="str">
        <f t="shared" si="22"/>
        <v>F</v>
      </c>
      <c r="E750" s="29" t="str">
        <f t="shared" si="23"/>
        <v>45_49</v>
      </c>
      <c r="F750" s="29">
        <f>VLOOKUP(A750,POPN!$A$1:$B$39,2,FALSE)*(1+GROWTH!C750)</f>
        <v>21911.653844757704</v>
      </c>
    </row>
    <row r="751" spans="1:6" x14ac:dyDescent="0.25">
      <c r="A751" t="s">
        <v>11</v>
      </c>
      <c r="B751">
        <v>2043</v>
      </c>
      <c r="C751">
        <v>0.29937080283138701</v>
      </c>
      <c r="D751" s="29" t="str">
        <f t="shared" si="22"/>
        <v>F</v>
      </c>
      <c r="E751" s="29" t="str">
        <f t="shared" si="23"/>
        <v>45_49</v>
      </c>
      <c r="F751" s="29">
        <f>VLOOKUP(A751,POPN!$A$1:$B$39,2,FALSE)*(1+GROWTH!C751)</f>
        <v>21922.984185371162</v>
      </c>
    </row>
    <row r="752" spans="1:6" x14ac:dyDescent="0.25">
      <c r="A752" t="s">
        <v>11</v>
      </c>
      <c r="B752">
        <v>2044</v>
      </c>
      <c r="C752">
        <v>0.289255248351382</v>
      </c>
      <c r="D752" s="29" t="str">
        <f t="shared" si="22"/>
        <v>F</v>
      </c>
      <c r="E752" s="29" t="str">
        <f t="shared" si="23"/>
        <v>45_49</v>
      </c>
      <c r="F752" s="29">
        <f>VLOOKUP(A752,POPN!$A$1:$B$39,2,FALSE)*(1+GROWTH!C752)</f>
        <v>21752.314550184517</v>
      </c>
    </row>
    <row r="753" spans="1:6" x14ac:dyDescent="0.25">
      <c r="A753" t="s">
        <v>11</v>
      </c>
      <c r="B753">
        <v>2045</v>
      </c>
      <c r="C753">
        <v>0.28405832173755202</v>
      </c>
      <c r="D753" s="29" t="str">
        <f t="shared" si="22"/>
        <v>F</v>
      </c>
      <c r="E753" s="29" t="str">
        <f t="shared" si="23"/>
        <v>45_49</v>
      </c>
      <c r="F753" s="29">
        <f>VLOOKUP(A753,POPN!$A$1:$B$39,2,FALSE)*(1+GROWTH!C753)</f>
        <v>21664.632004355979</v>
      </c>
    </row>
    <row r="754" spans="1:6" x14ac:dyDescent="0.25">
      <c r="A754" t="s">
        <v>11</v>
      </c>
      <c r="B754">
        <v>2046</v>
      </c>
      <c r="C754">
        <v>0.28012583943372299</v>
      </c>
      <c r="D754" s="29" t="str">
        <f t="shared" si="22"/>
        <v>F</v>
      </c>
      <c r="E754" s="29" t="str">
        <f t="shared" si="23"/>
        <v>45_49</v>
      </c>
      <c r="F754" s="29">
        <f>VLOOKUP(A754,POPN!$A$1:$B$39,2,FALSE)*(1+GROWTH!C754)</f>
        <v>21598.283162925774</v>
      </c>
    </row>
    <row r="755" spans="1:6" x14ac:dyDescent="0.25">
      <c r="A755" t="s">
        <v>11</v>
      </c>
      <c r="B755">
        <v>2047</v>
      </c>
      <c r="C755">
        <v>0.26603545284046198</v>
      </c>
      <c r="D755" s="29" t="str">
        <f t="shared" si="22"/>
        <v>F</v>
      </c>
      <c r="E755" s="29" t="str">
        <f t="shared" si="23"/>
        <v>45_49</v>
      </c>
      <c r="F755" s="29">
        <f>VLOOKUP(A755,POPN!$A$1:$B$39,2,FALSE)*(1+GROWTH!C755)</f>
        <v>21360.550160324274</v>
      </c>
    </row>
    <row r="756" spans="1:6" x14ac:dyDescent="0.25">
      <c r="A756" t="s">
        <v>12</v>
      </c>
      <c r="B756">
        <v>2022</v>
      </c>
      <c r="C756">
        <v>8.1592362925964404E-2</v>
      </c>
      <c r="D756" s="29" t="str">
        <f t="shared" si="22"/>
        <v>F</v>
      </c>
      <c r="E756" s="29" t="str">
        <f t="shared" si="23"/>
        <v>50_54</v>
      </c>
      <c r="F756" s="29">
        <f>VLOOKUP(A756,POPN!$A$1:$B$39,2,FALSE)*(1+GROWTH!C756)</f>
        <v>20246.327441611131</v>
      </c>
    </row>
    <row r="757" spans="1:6" x14ac:dyDescent="0.25">
      <c r="A757" t="s">
        <v>12</v>
      </c>
      <c r="B757">
        <v>2023</v>
      </c>
      <c r="C757">
        <v>5.8587326869449202E-2</v>
      </c>
      <c r="D757" s="29" t="str">
        <f t="shared" si="22"/>
        <v>F</v>
      </c>
      <c r="E757" s="29" t="str">
        <f t="shared" si="23"/>
        <v>50_54</v>
      </c>
      <c r="F757" s="29">
        <f>VLOOKUP(A757,POPN!$A$1:$B$39,2,FALSE)*(1+GROWTH!C757)</f>
        <v>19815.69617166922</v>
      </c>
    </row>
    <row r="758" spans="1:6" x14ac:dyDescent="0.25">
      <c r="A758" t="s">
        <v>12</v>
      </c>
      <c r="B758">
        <v>2024</v>
      </c>
      <c r="C758">
        <v>3.00153091994373E-2</v>
      </c>
      <c r="D758" s="29" t="str">
        <f t="shared" si="22"/>
        <v>F</v>
      </c>
      <c r="E758" s="29" t="str">
        <f t="shared" si="23"/>
        <v>50_54</v>
      </c>
      <c r="F758" s="29">
        <f>VLOOKUP(A758,POPN!$A$1:$B$39,2,FALSE)*(1+GROWTH!C758)</f>
        <v>19280.856572904268</v>
      </c>
    </row>
    <row r="759" spans="1:6" x14ac:dyDescent="0.25">
      <c r="A759" t="s">
        <v>12</v>
      </c>
      <c r="B759">
        <v>2025</v>
      </c>
      <c r="C759">
        <v>0</v>
      </c>
      <c r="D759" s="29" t="str">
        <f t="shared" si="22"/>
        <v>F</v>
      </c>
      <c r="E759" s="29" t="str">
        <f t="shared" si="23"/>
        <v>50_54</v>
      </c>
      <c r="F759" s="29">
        <f>VLOOKUP(A759,POPN!$A$1:$B$39,2,FALSE)*(1+GROWTH!C759)</f>
        <v>18719</v>
      </c>
    </row>
    <row r="760" spans="1:6" x14ac:dyDescent="0.25">
      <c r="A760" t="s">
        <v>12</v>
      </c>
      <c r="B760">
        <v>2026</v>
      </c>
      <c r="C760">
        <v>-4.0974015597857599E-2</v>
      </c>
      <c r="D760" s="29" t="str">
        <f t="shared" si="22"/>
        <v>F</v>
      </c>
      <c r="E760" s="29" t="str">
        <f t="shared" si="23"/>
        <v>50_54</v>
      </c>
      <c r="F760" s="29">
        <f>VLOOKUP(A760,POPN!$A$1:$B$39,2,FALSE)*(1+GROWTH!C760)</f>
        <v>17952.007402023704</v>
      </c>
    </row>
    <row r="761" spans="1:6" x14ac:dyDescent="0.25">
      <c r="A761" t="s">
        <v>12</v>
      </c>
      <c r="B761">
        <v>2027</v>
      </c>
      <c r="C761">
        <v>-8.1138757016716301E-2</v>
      </c>
      <c r="D761" s="29" t="str">
        <f t="shared" si="22"/>
        <v>F</v>
      </c>
      <c r="E761" s="29" t="str">
        <f t="shared" si="23"/>
        <v>50_54</v>
      </c>
      <c r="F761" s="29">
        <f>VLOOKUP(A761,POPN!$A$1:$B$39,2,FALSE)*(1+GROWTH!C761)</f>
        <v>17200.163607404087</v>
      </c>
    </row>
    <row r="762" spans="1:6" x14ac:dyDescent="0.25">
      <c r="A762" t="s">
        <v>12</v>
      </c>
      <c r="B762">
        <v>2028</v>
      </c>
      <c r="C762">
        <v>-0.102566481616074</v>
      </c>
      <c r="D762" s="29" t="str">
        <f t="shared" si="22"/>
        <v>F</v>
      </c>
      <c r="E762" s="29" t="str">
        <f t="shared" si="23"/>
        <v>50_54</v>
      </c>
      <c r="F762" s="29">
        <f>VLOOKUP(A762,POPN!$A$1:$B$39,2,FALSE)*(1+GROWTH!C762)</f>
        <v>16799.058030628712</v>
      </c>
    </row>
    <row r="763" spans="1:6" x14ac:dyDescent="0.25">
      <c r="A763" t="s">
        <v>12</v>
      </c>
      <c r="B763">
        <v>2029</v>
      </c>
      <c r="C763">
        <v>-0.103700496389194</v>
      </c>
      <c r="D763" s="29" t="str">
        <f t="shared" si="22"/>
        <v>F</v>
      </c>
      <c r="E763" s="29" t="str">
        <f t="shared" si="23"/>
        <v>50_54</v>
      </c>
      <c r="F763" s="29">
        <f>VLOOKUP(A763,POPN!$A$1:$B$39,2,FALSE)*(1+GROWTH!C763)</f>
        <v>16777.830408090678</v>
      </c>
    </row>
    <row r="764" spans="1:6" x14ac:dyDescent="0.25">
      <c r="A764" t="s">
        <v>12</v>
      </c>
      <c r="B764">
        <v>2030</v>
      </c>
      <c r="C764">
        <v>-9.4504667501713796E-2</v>
      </c>
      <c r="D764" s="29" t="str">
        <f t="shared" si="22"/>
        <v>F</v>
      </c>
      <c r="E764" s="29" t="str">
        <f t="shared" si="23"/>
        <v>50_54</v>
      </c>
      <c r="F764" s="29">
        <f>VLOOKUP(A764,POPN!$A$1:$B$39,2,FALSE)*(1+GROWTH!C764)</f>
        <v>16949.96712903542</v>
      </c>
    </row>
    <row r="765" spans="1:6" x14ac:dyDescent="0.25">
      <c r="A765" t="s">
        <v>12</v>
      </c>
      <c r="B765">
        <v>2031</v>
      </c>
      <c r="C765">
        <v>-6.4427502951015597E-2</v>
      </c>
      <c r="D765" s="29" t="str">
        <f t="shared" si="22"/>
        <v>F</v>
      </c>
      <c r="E765" s="29" t="str">
        <f t="shared" si="23"/>
        <v>50_54</v>
      </c>
      <c r="F765" s="29">
        <f>VLOOKUP(A765,POPN!$A$1:$B$39,2,FALSE)*(1+GROWTH!C765)</f>
        <v>17512.981572259938</v>
      </c>
    </row>
    <row r="766" spans="1:6" x14ac:dyDescent="0.25">
      <c r="A766" t="s">
        <v>12</v>
      </c>
      <c r="B766">
        <v>2032</v>
      </c>
      <c r="C766">
        <v>-4.3597713413848299E-2</v>
      </c>
      <c r="D766" s="29" t="str">
        <f t="shared" si="22"/>
        <v>F</v>
      </c>
      <c r="E766" s="29" t="str">
        <f t="shared" si="23"/>
        <v>50_54</v>
      </c>
      <c r="F766" s="29">
        <f>VLOOKUP(A766,POPN!$A$1:$B$39,2,FALSE)*(1+GROWTH!C766)</f>
        <v>17902.894402606173</v>
      </c>
    </row>
    <row r="767" spans="1:6" x14ac:dyDescent="0.25">
      <c r="A767" t="s">
        <v>12</v>
      </c>
      <c r="B767">
        <v>2033</v>
      </c>
      <c r="C767">
        <v>-1.79638249287375E-2</v>
      </c>
      <c r="D767" s="29" t="str">
        <f t="shared" si="22"/>
        <v>F</v>
      </c>
      <c r="E767" s="29" t="str">
        <f t="shared" si="23"/>
        <v>50_54</v>
      </c>
      <c r="F767" s="29">
        <f>VLOOKUP(A767,POPN!$A$1:$B$39,2,FALSE)*(1+GROWTH!C767)</f>
        <v>18382.735161158962</v>
      </c>
    </row>
    <row r="768" spans="1:6" x14ac:dyDescent="0.25">
      <c r="A768" t="s">
        <v>12</v>
      </c>
      <c r="B768">
        <v>2034</v>
      </c>
      <c r="C768">
        <v>-3.3247251302828298E-3</v>
      </c>
      <c r="D768" s="29" t="str">
        <f t="shared" si="22"/>
        <v>F</v>
      </c>
      <c r="E768" s="29" t="str">
        <f t="shared" si="23"/>
        <v>50_54</v>
      </c>
      <c r="F768" s="29">
        <f>VLOOKUP(A768,POPN!$A$1:$B$39,2,FALSE)*(1+GROWTH!C768)</f>
        <v>18656.764470286234</v>
      </c>
    </row>
    <row r="769" spans="1:6" x14ac:dyDescent="0.25">
      <c r="A769" t="s">
        <v>12</v>
      </c>
      <c r="B769">
        <v>2035</v>
      </c>
      <c r="C769">
        <v>1.2876222287514101E-2</v>
      </c>
      <c r="D769" s="29" t="str">
        <f t="shared" si="22"/>
        <v>F</v>
      </c>
      <c r="E769" s="29" t="str">
        <f t="shared" si="23"/>
        <v>50_54</v>
      </c>
      <c r="F769" s="29">
        <f>VLOOKUP(A769,POPN!$A$1:$B$39,2,FALSE)*(1+GROWTH!C769)</f>
        <v>18960.030004999975</v>
      </c>
    </row>
    <row r="770" spans="1:6" x14ac:dyDescent="0.25">
      <c r="A770" t="s">
        <v>12</v>
      </c>
      <c r="B770">
        <v>2036</v>
      </c>
      <c r="C770">
        <v>2.2010195823732901E-2</v>
      </c>
      <c r="D770" s="29" t="str">
        <f t="shared" si="22"/>
        <v>F</v>
      </c>
      <c r="E770" s="29" t="str">
        <f t="shared" si="23"/>
        <v>50_54</v>
      </c>
      <c r="F770" s="29">
        <f>VLOOKUP(A770,POPN!$A$1:$B$39,2,FALSE)*(1+GROWTH!C770)</f>
        <v>19131.008855624455</v>
      </c>
    </row>
    <row r="771" spans="1:6" x14ac:dyDescent="0.25">
      <c r="A771" t="s">
        <v>12</v>
      </c>
      <c r="B771">
        <v>2037</v>
      </c>
      <c r="C771">
        <v>4.9587373260962603E-2</v>
      </c>
      <c r="D771" s="29" t="str">
        <f t="shared" ref="D771:D834" si="24">LEFT(A771,1)</f>
        <v>F</v>
      </c>
      <c r="E771" s="29" t="str">
        <f t="shared" ref="E771:E834" si="25">MID(A771,3,LEN(A771)-2)</f>
        <v>50_54</v>
      </c>
      <c r="F771" s="29">
        <f>VLOOKUP(A771,POPN!$A$1:$B$39,2,FALSE)*(1+GROWTH!C771)</f>
        <v>19647.226040071961</v>
      </c>
    </row>
    <row r="772" spans="1:6" x14ac:dyDescent="0.25">
      <c r="A772" t="s">
        <v>12</v>
      </c>
      <c r="B772">
        <v>2038</v>
      </c>
      <c r="C772">
        <v>8.2257307952021005E-2</v>
      </c>
      <c r="D772" s="29" t="str">
        <f t="shared" si="24"/>
        <v>F</v>
      </c>
      <c r="E772" s="29" t="str">
        <f t="shared" si="25"/>
        <v>50_54</v>
      </c>
      <c r="F772" s="29">
        <f>VLOOKUP(A772,POPN!$A$1:$B$39,2,FALSE)*(1+GROWTH!C772)</f>
        <v>20258.774547553883</v>
      </c>
    </row>
    <row r="773" spans="1:6" x14ac:dyDescent="0.25">
      <c r="A773" t="s">
        <v>12</v>
      </c>
      <c r="B773">
        <v>2039</v>
      </c>
      <c r="C773">
        <v>0.115870536749811</v>
      </c>
      <c r="D773" s="29" t="str">
        <f t="shared" si="24"/>
        <v>F</v>
      </c>
      <c r="E773" s="29" t="str">
        <f t="shared" si="25"/>
        <v>50_54</v>
      </c>
      <c r="F773" s="29">
        <f>VLOOKUP(A773,POPN!$A$1:$B$39,2,FALSE)*(1+GROWTH!C773)</f>
        <v>20887.980577419712</v>
      </c>
    </row>
    <row r="774" spans="1:6" x14ac:dyDescent="0.25">
      <c r="A774" t="s">
        <v>12</v>
      </c>
      <c r="B774">
        <v>2040</v>
      </c>
      <c r="C774">
        <v>0.14279307838619401</v>
      </c>
      <c r="D774" s="29" t="str">
        <f t="shared" si="24"/>
        <v>F</v>
      </c>
      <c r="E774" s="29" t="str">
        <f t="shared" si="25"/>
        <v>50_54</v>
      </c>
      <c r="F774" s="29">
        <f>VLOOKUP(A774,POPN!$A$1:$B$39,2,FALSE)*(1+GROWTH!C774)</f>
        <v>21391.943634311163</v>
      </c>
    </row>
    <row r="775" spans="1:6" x14ac:dyDescent="0.25">
      <c r="A775" t="s">
        <v>12</v>
      </c>
      <c r="B775">
        <v>2041</v>
      </c>
      <c r="C775">
        <v>0.16506615945278599</v>
      </c>
      <c r="D775" s="29" t="str">
        <f t="shared" si="24"/>
        <v>F</v>
      </c>
      <c r="E775" s="29" t="str">
        <f t="shared" si="25"/>
        <v>50_54</v>
      </c>
      <c r="F775" s="29">
        <f>VLOOKUP(A775,POPN!$A$1:$B$39,2,FALSE)*(1+GROWTH!C775)</f>
        <v>21808.873438796702</v>
      </c>
    </row>
    <row r="776" spans="1:6" x14ac:dyDescent="0.25">
      <c r="A776" t="s">
        <v>12</v>
      </c>
      <c r="B776">
        <v>2042</v>
      </c>
      <c r="C776">
        <v>0.18285472755295101</v>
      </c>
      <c r="D776" s="29" t="str">
        <f t="shared" si="24"/>
        <v>F</v>
      </c>
      <c r="E776" s="29" t="str">
        <f t="shared" si="25"/>
        <v>50_54</v>
      </c>
      <c r="F776" s="29">
        <f>VLOOKUP(A776,POPN!$A$1:$B$39,2,FALSE)*(1+GROWTH!C776)</f>
        <v>22141.85764506369</v>
      </c>
    </row>
    <row r="777" spans="1:6" x14ac:dyDescent="0.25">
      <c r="A777" t="s">
        <v>12</v>
      </c>
      <c r="B777">
        <v>2043</v>
      </c>
      <c r="C777">
        <v>0.18282379987732</v>
      </c>
      <c r="D777" s="29" t="str">
        <f t="shared" si="24"/>
        <v>F</v>
      </c>
      <c r="E777" s="29" t="str">
        <f t="shared" si="25"/>
        <v>50_54</v>
      </c>
      <c r="F777" s="29">
        <f>VLOOKUP(A777,POPN!$A$1:$B$39,2,FALSE)*(1+GROWTH!C777)</f>
        <v>22141.278709903552</v>
      </c>
    </row>
    <row r="778" spans="1:6" x14ac:dyDescent="0.25">
      <c r="A778" t="s">
        <v>12</v>
      </c>
      <c r="B778">
        <v>2044</v>
      </c>
      <c r="C778">
        <v>0.18633409106138599</v>
      </c>
      <c r="D778" s="29" t="str">
        <f t="shared" si="24"/>
        <v>F</v>
      </c>
      <c r="E778" s="29" t="str">
        <f t="shared" si="25"/>
        <v>50_54</v>
      </c>
      <c r="F778" s="29">
        <f>VLOOKUP(A778,POPN!$A$1:$B$39,2,FALSE)*(1+GROWTH!C778)</f>
        <v>22206.987850578083</v>
      </c>
    </row>
    <row r="779" spans="1:6" x14ac:dyDescent="0.25">
      <c r="A779" t="s">
        <v>12</v>
      </c>
      <c r="B779">
        <v>2045</v>
      </c>
      <c r="C779">
        <v>0.17982381534115799</v>
      </c>
      <c r="D779" s="29" t="str">
        <f t="shared" si="24"/>
        <v>F</v>
      </c>
      <c r="E779" s="29" t="str">
        <f t="shared" si="25"/>
        <v>50_54</v>
      </c>
      <c r="F779" s="29">
        <f>VLOOKUP(A779,POPN!$A$1:$B$39,2,FALSE)*(1+GROWTH!C779)</f>
        <v>22085.121999371135</v>
      </c>
    </row>
    <row r="780" spans="1:6" x14ac:dyDescent="0.25">
      <c r="A780" t="s">
        <v>12</v>
      </c>
      <c r="B780">
        <v>2046</v>
      </c>
      <c r="C780">
        <v>0.170746542543595</v>
      </c>
      <c r="D780" s="29" t="str">
        <f t="shared" si="24"/>
        <v>F</v>
      </c>
      <c r="E780" s="29" t="str">
        <f t="shared" si="25"/>
        <v>50_54</v>
      </c>
      <c r="F780" s="29">
        <f>VLOOKUP(A780,POPN!$A$1:$B$39,2,FALSE)*(1+GROWTH!C780)</f>
        <v>21915.204529873554</v>
      </c>
    </row>
    <row r="781" spans="1:6" x14ac:dyDescent="0.25">
      <c r="A781" t="s">
        <v>12</v>
      </c>
      <c r="B781">
        <v>2047</v>
      </c>
      <c r="C781">
        <v>0.16601460817212299</v>
      </c>
      <c r="D781" s="29" t="str">
        <f t="shared" si="24"/>
        <v>F</v>
      </c>
      <c r="E781" s="29" t="str">
        <f t="shared" si="25"/>
        <v>50_54</v>
      </c>
      <c r="F781" s="29">
        <f>VLOOKUP(A781,POPN!$A$1:$B$39,2,FALSE)*(1+GROWTH!C781)</f>
        <v>21826.62745037397</v>
      </c>
    </row>
    <row r="782" spans="1:6" x14ac:dyDescent="0.25">
      <c r="A782" t="s">
        <v>13</v>
      </c>
      <c r="B782">
        <v>2022</v>
      </c>
      <c r="C782">
        <v>-5.2054491084284E-3</v>
      </c>
      <c r="D782" s="29" t="str">
        <f t="shared" si="24"/>
        <v>F</v>
      </c>
      <c r="E782" s="29" t="str">
        <f t="shared" si="25"/>
        <v>55_59</v>
      </c>
      <c r="F782" s="29">
        <f>VLOOKUP(A782,POPN!$A$1:$B$39,2,FALSE)*(1+GROWTH!C782)</f>
        <v>21840.714364824456</v>
      </c>
    </row>
    <row r="783" spans="1:6" x14ac:dyDescent="0.25">
      <c r="A783" t="s">
        <v>13</v>
      </c>
      <c r="B783">
        <v>2023</v>
      </c>
      <c r="C783">
        <v>1.85181083176428E-3</v>
      </c>
      <c r="D783" s="29" t="str">
        <f t="shared" si="24"/>
        <v>F</v>
      </c>
      <c r="E783" s="29" t="str">
        <f t="shared" si="25"/>
        <v>55_59</v>
      </c>
      <c r="F783" s="29">
        <f>VLOOKUP(A783,POPN!$A$1:$B$39,2,FALSE)*(1+GROWTH!C783)</f>
        <v>21995.656506811385</v>
      </c>
    </row>
    <row r="784" spans="1:6" x14ac:dyDescent="0.25">
      <c r="A784" t="s">
        <v>13</v>
      </c>
      <c r="B784">
        <v>2024</v>
      </c>
      <c r="C784">
        <v>3.5707165799091201E-3</v>
      </c>
      <c r="D784" s="29" t="str">
        <f t="shared" si="24"/>
        <v>F</v>
      </c>
      <c r="E784" s="29" t="str">
        <f t="shared" si="25"/>
        <v>55_59</v>
      </c>
      <c r="F784" s="29">
        <f>VLOOKUP(A784,POPN!$A$1:$B$39,2,FALSE)*(1+GROWTH!C784)</f>
        <v>22033.395082511903</v>
      </c>
    </row>
    <row r="785" spans="1:6" x14ac:dyDescent="0.25">
      <c r="A785" t="s">
        <v>13</v>
      </c>
      <c r="B785">
        <v>2025</v>
      </c>
      <c r="C785">
        <v>0</v>
      </c>
      <c r="D785" s="29" t="str">
        <f t="shared" si="24"/>
        <v>F</v>
      </c>
      <c r="E785" s="29" t="str">
        <f t="shared" si="25"/>
        <v>55_59</v>
      </c>
      <c r="F785" s="29">
        <f>VLOOKUP(A785,POPN!$A$1:$B$39,2,FALSE)*(1+GROWTH!C785)</f>
        <v>21955</v>
      </c>
    </row>
    <row r="786" spans="1:6" x14ac:dyDescent="0.25">
      <c r="A786" t="s">
        <v>13</v>
      </c>
      <c r="B786">
        <v>2026</v>
      </c>
      <c r="C786">
        <v>-8.3907409458412394E-3</v>
      </c>
      <c r="D786" s="29" t="str">
        <f t="shared" si="24"/>
        <v>F</v>
      </c>
      <c r="E786" s="29" t="str">
        <f t="shared" si="25"/>
        <v>55_59</v>
      </c>
      <c r="F786" s="29">
        <f>VLOOKUP(A786,POPN!$A$1:$B$39,2,FALSE)*(1+GROWTH!C786)</f>
        <v>21770.781282534055</v>
      </c>
    </row>
    <row r="787" spans="1:6" x14ac:dyDescent="0.25">
      <c r="A787" t="s">
        <v>13</v>
      </c>
      <c r="B787">
        <v>2027</v>
      </c>
      <c r="C787">
        <v>-1.37290951378891E-2</v>
      </c>
      <c r="D787" s="29" t="str">
        <f t="shared" si="24"/>
        <v>F</v>
      </c>
      <c r="E787" s="29" t="str">
        <f t="shared" si="25"/>
        <v>55_59</v>
      </c>
      <c r="F787" s="29">
        <f>VLOOKUP(A787,POPN!$A$1:$B$39,2,FALSE)*(1+GROWTH!C787)</f>
        <v>21653.577716247644</v>
      </c>
    </row>
    <row r="788" spans="1:6" x14ac:dyDescent="0.25">
      <c r="A788" t="s">
        <v>13</v>
      </c>
      <c r="B788">
        <v>2028</v>
      </c>
      <c r="C788">
        <v>-3.4227489201461903E-2</v>
      </c>
      <c r="D788" s="29" t="str">
        <f t="shared" si="24"/>
        <v>F</v>
      </c>
      <c r="E788" s="29" t="str">
        <f t="shared" si="25"/>
        <v>55_59</v>
      </c>
      <c r="F788" s="29">
        <f>VLOOKUP(A788,POPN!$A$1:$B$39,2,FALSE)*(1+GROWTH!C788)</f>
        <v>21203.535474581902</v>
      </c>
    </row>
    <row r="789" spans="1:6" x14ac:dyDescent="0.25">
      <c r="A789" t="s">
        <v>13</v>
      </c>
      <c r="B789">
        <v>2029</v>
      </c>
      <c r="C789">
        <v>-5.95547679698748E-2</v>
      </c>
      <c r="D789" s="29" t="str">
        <f t="shared" si="24"/>
        <v>F</v>
      </c>
      <c r="E789" s="29" t="str">
        <f t="shared" si="25"/>
        <v>55_59</v>
      </c>
      <c r="F789" s="29">
        <f>VLOOKUP(A789,POPN!$A$1:$B$39,2,FALSE)*(1+GROWTH!C789)</f>
        <v>20647.4750692214</v>
      </c>
    </row>
    <row r="790" spans="1:6" x14ac:dyDescent="0.25">
      <c r="A790" t="s">
        <v>13</v>
      </c>
      <c r="B790">
        <v>2030</v>
      </c>
      <c r="C790">
        <v>-8.5050393177538999E-2</v>
      </c>
      <c r="D790" s="29" t="str">
        <f t="shared" si="24"/>
        <v>F</v>
      </c>
      <c r="E790" s="29" t="str">
        <f t="shared" si="25"/>
        <v>55_59</v>
      </c>
      <c r="F790" s="29">
        <f>VLOOKUP(A790,POPN!$A$1:$B$39,2,FALSE)*(1+GROWTH!C790)</f>
        <v>20087.71861778713</v>
      </c>
    </row>
    <row r="791" spans="1:6" x14ac:dyDescent="0.25">
      <c r="A791" t="s">
        <v>13</v>
      </c>
      <c r="B791">
        <v>2031</v>
      </c>
      <c r="C791">
        <v>-0.120354413556319</v>
      </c>
      <c r="D791" s="29" t="str">
        <f t="shared" si="24"/>
        <v>F</v>
      </c>
      <c r="E791" s="29" t="str">
        <f t="shared" si="25"/>
        <v>55_59</v>
      </c>
      <c r="F791" s="29">
        <f>VLOOKUP(A791,POPN!$A$1:$B$39,2,FALSE)*(1+GROWTH!C791)</f>
        <v>19312.618850371015</v>
      </c>
    </row>
    <row r="792" spans="1:6" x14ac:dyDescent="0.25">
      <c r="A792" t="s">
        <v>13</v>
      </c>
      <c r="B792">
        <v>2032</v>
      </c>
      <c r="C792">
        <v>-0.15419204784582999</v>
      </c>
      <c r="D792" s="29" t="str">
        <f t="shared" si="24"/>
        <v>F</v>
      </c>
      <c r="E792" s="29" t="str">
        <f t="shared" si="25"/>
        <v>55_59</v>
      </c>
      <c r="F792" s="29">
        <f>VLOOKUP(A792,POPN!$A$1:$B$39,2,FALSE)*(1+GROWTH!C792)</f>
        <v>18569.713589544805</v>
      </c>
    </row>
    <row r="793" spans="1:6" x14ac:dyDescent="0.25">
      <c r="A793" t="s">
        <v>13</v>
      </c>
      <c r="B793">
        <v>2033</v>
      </c>
      <c r="C793">
        <v>-0.17220954701517299</v>
      </c>
      <c r="D793" s="29" t="str">
        <f t="shared" si="24"/>
        <v>F</v>
      </c>
      <c r="E793" s="29" t="str">
        <f t="shared" si="25"/>
        <v>55_59</v>
      </c>
      <c r="F793" s="29">
        <f>VLOOKUP(A793,POPN!$A$1:$B$39,2,FALSE)*(1+GROWTH!C793)</f>
        <v>18174.139395281876</v>
      </c>
    </row>
    <row r="794" spans="1:6" x14ac:dyDescent="0.25">
      <c r="A794" t="s">
        <v>13</v>
      </c>
      <c r="B794">
        <v>2034</v>
      </c>
      <c r="C794">
        <v>-0.17184184295049301</v>
      </c>
      <c r="D794" s="29" t="str">
        <f t="shared" si="24"/>
        <v>F</v>
      </c>
      <c r="E794" s="29" t="str">
        <f t="shared" si="25"/>
        <v>55_59</v>
      </c>
      <c r="F794" s="29">
        <f>VLOOKUP(A794,POPN!$A$1:$B$39,2,FALSE)*(1+GROWTH!C794)</f>
        <v>18182.212338021927</v>
      </c>
    </row>
    <row r="795" spans="1:6" x14ac:dyDescent="0.25">
      <c r="A795" t="s">
        <v>13</v>
      </c>
      <c r="B795">
        <v>2035</v>
      </c>
      <c r="C795">
        <v>-0.16195370472920601</v>
      </c>
      <c r="D795" s="29" t="str">
        <f t="shared" si="24"/>
        <v>F</v>
      </c>
      <c r="E795" s="29" t="str">
        <f t="shared" si="25"/>
        <v>55_59</v>
      </c>
      <c r="F795" s="29">
        <f>VLOOKUP(A795,POPN!$A$1:$B$39,2,FALSE)*(1+GROWTH!C795)</f>
        <v>18399.306412670281</v>
      </c>
    </row>
    <row r="796" spans="1:6" x14ac:dyDescent="0.25">
      <c r="A796" t="s">
        <v>13</v>
      </c>
      <c r="B796">
        <v>2036</v>
      </c>
      <c r="C796">
        <v>-0.135062576143538</v>
      </c>
      <c r="D796" s="29" t="str">
        <f t="shared" si="24"/>
        <v>F</v>
      </c>
      <c r="E796" s="29" t="str">
        <f t="shared" si="25"/>
        <v>55_59</v>
      </c>
      <c r="F796" s="29">
        <f>VLOOKUP(A796,POPN!$A$1:$B$39,2,FALSE)*(1+GROWTH!C796)</f>
        <v>18989.701140768622</v>
      </c>
    </row>
    <row r="797" spans="1:6" x14ac:dyDescent="0.25">
      <c r="A797" t="s">
        <v>13</v>
      </c>
      <c r="B797">
        <v>2037</v>
      </c>
      <c r="C797">
        <v>-0.115184405803522</v>
      </c>
      <c r="D797" s="29" t="str">
        <f t="shared" si="24"/>
        <v>F</v>
      </c>
      <c r="E797" s="29" t="str">
        <f t="shared" si="25"/>
        <v>55_59</v>
      </c>
      <c r="F797" s="29">
        <f>VLOOKUP(A797,POPN!$A$1:$B$39,2,FALSE)*(1+GROWTH!C797)</f>
        <v>19426.126370583675</v>
      </c>
    </row>
    <row r="798" spans="1:6" x14ac:dyDescent="0.25">
      <c r="A798" t="s">
        <v>13</v>
      </c>
      <c r="B798">
        <v>2038</v>
      </c>
      <c r="C798">
        <v>-9.1877284306124796E-2</v>
      </c>
      <c r="D798" s="29" t="str">
        <f t="shared" si="24"/>
        <v>F</v>
      </c>
      <c r="E798" s="29" t="str">
        <f t="shared" si="25"/>
        <v>55_59</v>
      </c>
      <c r="F798" s="29">
        <f>VLOOKUP(A798,POPN!$A$1:$B$39,2,FALSE)*(1+GROWTH!C798)</f>
        <v>19937.834223059028</v>
      </c>
    </row>
    <row r="799" spans="1:6" x14ac:dyDescent="0.25">
      <c r="A799" t="s">
        <v>13</v>
      </c>
      <c r="B799">
        <v>2039</v>
      </c>
      <c r="C799">
        <v>-7.8732971536161295E-2</v>
      </c>
      <c r="D799" s="29" t="str">
        <f t="shared" si="24"/>
        <v>F</v>
      </c>
      <c r="E799" s="29" t="str">
        <f t="shared" si="25"/>
        <v>55_59</v>
      </c>
      <c r="F799" s="29">
        <f>VLOOKUP(A799,POPN!$A$1:$B$39,2,FALSE)*(1+GROWTH!C799)</f>
        <v>20226.417609923577</v>
      </c>
    </row>
    <row r="800" spans="1:6" x14ac:dyDescent="0.25">
      <c r="A800" t="s">
        <v>13</v>
      </c>
      <c r="B800">
        <v>2040</v>
      </c>
      <c r="C800">
        <v>-6.4964004873186501E-2</v>
      </c>
      <c r="D800" s="29" t="str">
        <f t="shared" si="24"/>
        <v>F</v>
      </c>
      <c r="E800" s="29" t="str">
        <f t="shared" si="25"/>
        <v>55_59</v>
      </c>
      <c r="F800" s="29">
        <f>VLOOKUP(A800,POPN!$A$1:$B$39,2,FALSE)*(1+GROWTH!C800)</f>
        <v>20528.715273009191</v>
      </c>
    </row>
    <row r="801" spans="1:6" x14ac:dyDescent="0.25">
      <c r="A801" t="s">
        <v>13</v>
      </c>
      <c r="B801">
        <v>2041</v>
      </c>
      <c r="C801">
        <v>-5.6276442573928401E-2</v>
      </c>
      <c r="D801" s="29" t="str">
        <f t="shared" si="24"/>
        <v>F</v>
      </c>
      <c r="E801" s="29" t="str">
        <f t="shared" si="25"/>
        <v>55_59</v>
      </c>
      <c r="F801" s="29">
        <f>VLOOKUP(A801,POPN!$A$1:$B$39,2,FALSE)*(1+GROWTH!C801)</f>
        <v>20719.450703289403</v>
      </c>
    </row>
    <row r="802" spans="1:6" x14ac:dyDescent="0.25">
      <c r="A802" t="s">
        <v>13</v>
      </c>
      <c r="B802">
        <v>2042</v>
      </c>
      <c r="C802">
        <v>-3.2371248200243702E-2</v>
      </c>
      <c r="D802" s="29" t="str">
        <f t="shared" si="24"/>
        <v>F</v>
      </c>
      <c r="E802" s="29" t="str">
        <f t="shared" si="25"/>
        <v>55_59</v>
      </c>
      <c r="F802" s="29">
        <f>VLOOKUP(A802,POPN!$A$1:$B$39,2,FALSE)*(1+GROWTH!C802)</f>
        <v>21244.289245763648</v>
      </c>
    </row>
    <row r="803" spans="1:6" x14ac:dyDescent="0.25">
      <c r="A803" t="s">
        <v>13</v>
      </c>
      <c r="B803">
        <v>2043</v>
      </c>
      <c r="C803">
        <v>-3.8320965776941001E-3</v>
      </c>
      <c r="D803" s="29" t="str">
        <f t="shared" si="24"/>
        <v>F</v>
      </c>
      <c r="E803" s="29" t="str">
        <f t="shared" si="25"/>
        <v>55_59</v>
      </c>
      <c r="F803" s="29">
        <f>VLOOKUP(A803,POPN!$A$1:$B$39,2,FALSE)*(1+GROWTH!C803)</f>
        <v>21870.866319636727</v>
      </c>
    </row>
    <row r="804" spans="1:6" x14ac:dyDescent="0.25">
      <c r="A804" t="s">
        <v>13</v>
      </c>
      <c r="B804">
        <v>2044</v>
      </c>
      <c r="C804">
        <v>2.5145641820799602E-2</v>
      </c>
      <c r="D804" s="29" t="str">
        <f t="shared" si="24"/>
        <v>F</v>
      </c>
      <c r="E804" s="29" t="str">
        <f t="shared" si="25"/>
        <v>55_59</v>
      </c>
      <c r="F804" s="29">
        <f>VLOOKUP(A804,POPN!$A$1:$B$39,2,FALSE)*(1+GROWTH!C804)</f>
        <v>22507.072566175655</v>
      </c>
    </row>
    <row r="805" spans="1:6" x14ac:dyDescent="0.25">
      <c r="A805" t="s">
        <v>13</v>
      </c>
      <c r="B805">
        <v>2045</v>
      </c>
      <c r="C805">
        <v>4.8598958910178298E-2</v>
      </c>
      <c r="D805" s="29" t="str">
        <f t="shared" si="24"/>
        <v>F</v>
      </c>
      <c r="E805" s="29" t="str">
        <f t="shared" si="25"/>
        <v>55_59</v>
      </c>
      <c r="F805" s="29">
        <f>VLOOKUP(A805,POPN!$A$1:$B$39,2,FALSE)*(1+GROWTH!C805)</f>
        <v>23021.990142872964</v>
      </c>
    </row>
    <row r="806" spans="1:6" x14ac:dyDescent="0.25">
      <c r="A806" t="s">
        <v>13</v>
      </c>
      <c r="B806">
        <v>2046</v>
      </c>
      <c r="C806">
        <v>6.8229039760770799E-2</v>
      </c>
      <c r="D806" s="29" t="str">
        <f t="shared" si="24"/>
        <v>F</v>
      </c>
      <c r="E806" s="29" t="str">
        <f t="shared" si="25"/>
        <v>55_59</v>
      </c>
      <c r="F806" s="29">
        <f>VLOOKUP(A806,POPN!$A$1:$B$39,2,FALSE)*(1+GROWTH!C806)</f>
        <v>23452.968567947722</v>
      </c>
    </row>
    <row r="807" spans="1:6" x14ac:dyDescent="0.25">
      <c r="A807" t="s">
        <v>13</v>
      </c>
      <c r="B807">
        <v>2047</v>
      </c>
      <c r="C807">
        <v>8.3601727766087E-2</v>
      </c>
      <c r="D807" s="29" t="str">
        <f t="shared" si="24"/>
        <v>F</v>
      </c>
      <c r="E807" s="29" t="str">
        <f t="shared" si="25"/>
        <v>55_59</v>
      </c>
      <c r="F807" s="29">
        <f>VLOOKUP(A807,POPN!$A$1:$B$39,2,FALSE)*(1+GROWTH!C807)</f>
        <v>23790.475933104441</v>
      </c>
    </row>
    <row r="808" spans="1:6" x14ac:dyDescent="0.25">
      <c r="A808" t="s">
        <v>14</v>
      </c>
      <c r="B808">
        <v>2022</v>
      </c>
      <c r="C808">
        <v>-9.2357245387389306E-2</v>
      </c>
      <c r="D808" s="29" t="str">
        <f t="shared" si="24"/>
        <v>F</v>
      </c>
      <c r="E808" s="29" t="str">
        <f t="shared" si="25"/>
        <v>60_64</v>
      </c>
      <c r="F808" s="29">
        <f>VLOOKUP(A808,POPN!$A$1:$B$39,2,FALSE)*(1+GROWTH!C808)</f>
        <v>20822.2324335679</v>
      </c>
    </row>
    <row r="809" spans="1:6" x14ac:dyDescent="0.25">
      <c r="A809" t="s">
        <v>14</v>
      </c>
      <c r="B809">
        <v>2023</v>
      </c>
      <c r="C809">
        <v>-6.2598466547631598E-2</v>
      </c>
      <c r="D809" s="29" t="str">
        <f t="shared" si="24"/>
        <v>F</v>
      </c>
      <c r="E809" s="29" t="str">
        <f t="shared" si="25"/>
        <v>60_64</v>
      </c>
      <c r="F809" s="29">
        <f>VLOOKUP(A809,POPN!$A$1:$B$39,2,FALSE)*(1+GROWTH!C809)</f>
        <v>21504.928578930783</v>
      </c>
    </row>
    <row r="810" spans="1:6" x14ac:dyDescent="0.25">
      <c r="A810" t="s">
        <v>14</v>
      </c>
      <c r="B810">
        <v>2024</v>
      </c>
      <c r="C810">
        <v>-2.9548716871477101E-2</v>
      </c>
      <c r="D810" s="29" t="str">
        <f t="shared" si="24"/>
        <v>F</v>
      </c>
      <c r="E810" s="29" t="str">
        <f t="shared" si="25"/>
        <v>60_64</v>
      </c>
      <c r="F810" s="29">
        <f>VLOOKUP(A810,POPN!$A$1:$B$39,2,FALSE)*(1+GROWTH!C810)</f>
        <v>22263.122886251444</v>
      </c>
    </row>
    <row r="811" spans="1:6" x14ac:dyDescent="0.25">
      <c r="A811" t="s">
        <v>14</v>
      </c>
      <c r="B811">
        <v>2025</v>
      </c>
      <c r="C811">
        <v>0</v>
      </c>
      <c r="D811" s="29" t="str">
        <f t="shared" si="24"/>
        <v>F</v>
      </c>
      <c r="E811" s="29" t="str">
        <f t="shared" si="25"/>
        <v>60_64</v>
      </c>
      <c r="F811" s="29">
        <f>VLOOKUP(A811,POPN!$A$1:$B$39,2,FALSE)*(1+GROWTH!C811)</f>
        <v>22941</v>
      </c>
    </row>
    <row r="812" spans="1:6" x14ac:dyDescent="0.25">
      <c r="A812" t="s">
        <v>14</v>
      </c>
      <c r="B812">
        <v>2026</v>
      </c>
      <c r="C812">
        <v>2.26385533732451E-2</v>
      </c>
      <c r="D812" s="29" t="str">
        <f t="shared" si="24"/>
        <v>F</v>
      </c>
      <c r="E812" s="29" t="str">
        <f t="shared" si="25"/>
        <v>60_64</v>
      </c>
      <c r="F812" s="29">
        <f>VLOOKUP(A812,POPN!$A$1:$B$39,2,FALSE)*(1+GROWTH!C812)</f>
        <v>23460.351052935617</v>
      </c>
    </row>
    <row r="813" spans="1:6" x14ac:dyDescent="0.25">
      <c r="A813" t="s">
        <v>14</v>
      </c>
      <c r="B813">
        <v>2027</v>
      </c>
      <c r="C813">
        <v>3.4555193782165698E-2</v>
      </c>
      <c r="D813" s="29" t="str">
        <f t="shared" si="24"/>
        <v>F</v>
      </c>
      <c r="E813" s="29" t="str">
        <f t="shared" si="25"/>
        <v>60_64</v>
      </c>
      <c r="F813" s="29">
        <f>VLOOKUP(A813,POPN!$A$1:$B$39,2,FALSE)*(1+GROWTH!C813)</f>
        <v>23733.730700556665</v>
      </c>
    </row>
    <row r="814" spans="1:6" x14ac:dyDescent="0.25">
      <c r="A814" t="s">
        <v>14</v>
      </c>
      <c r="B814">
        <v>2028</v>
      </c>
      <c r="C814">
        <v>4.0712635227391998E-2</v>
      </c>
      <c r="D814" s="29" t="str">
        <f t="shared" si="24"/>
        <v>F</v>
      </c>
      <c r="E814" s="29" t="str">
        <f t="shared" si="25"/>
        <v>60_64</v>
      </c>
      <c r="F814" s="29">
        <f>VLOOKUP(A814,POPN!$A$1:$B$39,2,FALSE)*(1+GROWTH!C814)</f>
        <v>23874.988564751602</v>
      </c>
    </row>
    <row r="815" spans="1:6" x14ac:dyDescent="0.25">
      <c r="A815" t="s">
        <v>14</v>
      </c>
      <c r="B815">
        <v>2029</v>
      </c>
      <c r="C815">
        <v>4.1307810804187099E-2</v>
      </c>
      <c r="D815" s="29" t="str">
        <f t="shared" si="24"/>
        <v>F</v>
      </c>
      <c r="E815" s="29" t="str">
        <f t="shared" si="25"/>
        <v>60_64</v>
      </c>
      <c r="F815" s="29">
        <f>VLOOKUP(A815,POPN!$A$1:$B$39,2,FALSE)*(1+GROWTH!C815)</f>
        <v>23888.642487658857</v>
      </c>
    </row>
    <row r="816" spans="1:6" x14ac:dyDescent="0.25">
      <c r="A816" t="s">
        <v>14</v>
      </c>
      <c r="B816">
        <v>2030</v>
      </c>
      <c r="C816">
        <v>3.7150334348632699E-2</v>
      </c>
      <c r="D816" s="29" t="str">
        <f t="shared" si="24"/>
        <v>F</v>
      </c>
      <c r="E816" s="29" t="str">
        <f t="shared" si="25"/>
        <v>60_64</v>
      </c>
      <c r="F816" s="29">
        <f>VLOOKUP(A816,POPN!$A$1:$B$39,2,FALSE)*(1+GROWTH!C816)</f>
        <v>23793.265820291985</v>
      </c>
    </row>
    <row r="817" spans="1:6" x14ac:dyDescent="0.25">
      <c r="A817" t="s">
        <v>14</v>
      </c>
      <c r="B817">
        <v>2031</v>
      </c>
      <c r="C817">
        <v>2.9780660294787001E-2</v>
      </c>
      <c r="D817" s="29" t="str">
        <f t="shared" si="24"/>
        <v>F</v>
      </c>
      <c r="E817" s="29" t="str">
        <f t="shared" si="25"/>
        <v>60_64</v>
      </c>
      <c r="F817" s="29">
        <f>VLOOKUP(A817,POPN!$A$1:$B$39,2,FALSE)*(1+GROWTH!C817)</f>
        <v>23624.198127822707</v>
      </c>
    </row>
    <row r="818" spans="1:6" x14ac:dyDescent="0.25">
      <c r="A818" t="s">
        <v>14</v>
      </c>
      <c r="B818">
        <v>2032</v>
      </c>
      <c r="C818">
        <v>2.3903301473934699E-2</v>
      </c>
      <c r="D818" s="29" t="str">
        <f t="shared" si="24"/>
        <v>F</v>
      </c>
      <c r="E818" s="29" t="str">
        <f t="shared" si="25"/>
        <v>60_64</v>
      </c>
      <c r="F818" s="29">
        <f>VLOOKUP(A818,POPN!$A$1:$B$39,2,FALSE)*(1+GROWTH!C818)</f>
        <v>23489.365639113537</v>
      </c>
    </row>
    <row r="819" spans="1:6" x14ac:dyDescent="0.25">
      <c r="A819" t="s">
        <v>14</v>
      </c>
      <c r="B819">
        <v>2033</v>
      </c>
      <c r="C819">
        <v>4.2231208206420902E-3</v>
      </c>
      <c r="D819" s="29" t="str">
        <f t="shared" si="24"/>
        <v>F</v>
      </c>
      <c r="E819" s="29" t="str">
        <f t="shared" si="25"/>
        <v>60_64</v>
      </c>
      <c r="F819" s="29">
        <f>VLOOKUP(A819,POPN!$A$1:$B$39,2,FALSE)*(1+GROWTH!C819)</f>
        <v>23037.882614746348</v>
      </c>
    </row>
    <row r="820" spans="1:6" x14ac:dyDescent="0.25">
      <c r="A820" t="s">
        <v>14</v>
      </c>
      <c r="B820">
        <v>2034</v>
      </c>
      <c r="C820">
        <v>-2.0712985330672701E-2</v>
      </c>
      <c r="D820" s="29" t="str">
        <f t="shared" si="24"/>
        <v>F</v>
      </c>
      <c r="E820" s="29" t="str">
        <f t="shared" si="25"/>
        <v>60_64</v>
      </c>
      <c r="F820" s="29">
        <f>VLOOKUP(A820,POPN!$A$1:$B$39,2,FALSE)*(1+GROWTH!C820)</f>
        <v>22465.823403529037</v>
      </c>
    </row>
    <row r="821" spans="1:6" x14ac:dyDescent="0.25">
      <c r="A821" t="s">
        <v>14</v>
      </c>
      <c r="B821">
        <v>2035</v>
      </c>
      <c r="C821">
        <v>-4.54652872597417E-2</v>
      </c>
      <c r="D821" s="29" t="str">
        <f t="shared" si="24"/>
        <v>F</v>
      </c>
      <c r="E821" s="29" t="str">
        <f t="shared" si="25"/>
        <v>60_64</v>
      </c>
      <c r="F821" s="29">
        <f>VLOOKUP(A821,POPN!$A$1:$B$39,2,FALSE)*(1+GROWTH!C821)</f>
        <v>21897.980844974263</v>
      </c>
    </row>
    <row r="822" spans="1:6" x14ac:dyDescent="0.25">
      <c r="A822" t="s">
        <v>14</v>
      </c>
      <c r="B822">
        <v>2036</v>
      </c>
      <c r="C822">
        <v>-8.0252424465217395E-2</v>
      </c>
      <c r="D822" s="29" t="str">
        <f t="shared" si="24"/>
        <v>F</v>
      </c>
      <c r="E822" s="29" t="str">
        <f t="shared" si="25"/>
        <v>60_64</v>
      </c>
      <c r="F822" s="29">
        <f>VLOOKUP(A822,POPN!$A$1:$B$39,2,FALSE)*(1+GROWTH!C822)</f>
        <v>21099.929130343447</v>
      </c>
    </row>
    <row r="823" spans="1:6" x14ac:dyDescent="0.25">
      <c r="A823" t="s">
        <v>14</v>
      </c>
      <c r="B823">
        <v>2037</v>
      </c>
      <c r="C823">
        <v>-0.112930189405875</v>
      </c>
      <c r="D823" s="29" t="str">
        <f t="shared" si="24"/>
        <v>F</v>
      </c>
      <c r="E823" s="29" t="str">
        <f t="shared" si="25"/>
        <v>60_64</v>
      </c>
      <c r="F823" s="29">
        <f>VLOOKUP(A823,POPN!$A$1:$B$39,2,FALSE)*(1+GROWTH!C823)</f>
        <v>20350.268524839823</v>
      </c>
    </row>
    <row r="824" spans="1:6" x14ac:dyDescent="0.25">
      <c r="A824" t="s">
        <v>14</v>
      </c>
      <c r="B824">
        <v>2038</v>
      </c>
      <c r="C824">
        <v>-0.130164023386899</v>
      </c>
      <c r="D824" s="29" t="str">
        <f t="shared" si="24"/>
        <v>F</v>
      </c>
      <c r="E824" s="29" t="str">
        <f t="shared" si="25"/>
        <v>60_64</v>
      </c>
      <c r="F824" s="29">
        <f>VLOOKUP(A824,POPN!$A$1:$B$39,2,FALSE)*(1+GROWTH!C824)</f>
        <v>19954.907139481151</v>
      </c>
    </row>
    <row r="825" spans="1:6" x14ac:dyDescent="0.25">
      <c r="A825" t="s">
        <v>14</v>
      </c>
      <c r="B825">
        <v>2039</v>
      </c>
      <c r="C825">
        <v>-0.128159682106221</v>
      </c>
      <c r="D825" s="29" t="str">
        <f t="shared" si="24"/>
        <v>F</v>
      </c>
      <c r="E825" s="29" t="str">
        <f t="shared" si="25"/>
        <v>60_64</v>
      </c>
      <c r="F825" s="29">
        <f>VLOOKUP(A825,POPN!$A$1:$B$39,2,FALSE)*(1+GROWTH!C825)</f>
        <v>20000.888732801184</v>
      </c>
    </row>
    <row r="826" spans="1:6" x14ac:dyDescent="0.25">
      <c r="A826" t="s">
        <v>14</v>
      </c>
      <c r="B826">
        <v>2040</v>
      </c>
      <c r="C826">
        <v>-0.116142387004166</v>
      </c>
      <c r="D826" s="29" t="str">
        <f t="shared" si="24"/>
        <v>F</v>
      </c>
      <c r="E826" s="29" t="str">
        <f t="shared" si="25"/>
        <v>60_64</v>
      </c>
      <c r="F826" s="29">
        <f>VLOOKUP(A826,POPN!$A$1:$B$39,2,FALSE)*(1+GROWTH!C826)</f>
        <v>20276.577499737428</v>
      </c>
    </row>
    <row r="827" spans="1:6" x14ac:dyDescent="0.25">
      <c r="A827" t="s">
        <v>14</v>
      </c>
      <c r="B827">
        <v>2041</v>
      </c>
      <c r="C827">
        <v>-8.8471098974197498E-2</v>
      </c>
      <c r="D827" s="29" t="str">
        <f t="shared" si="24"/>
        <v>F</v>
      </c>
      <c r="E827" s="29" t="str">
        <f t="shared" si="25"/>
        <v>60_64</v>
      </c>
      <c r="F827" s="29">
        <f>VLOOKUP(A827,POPN!$A$1:$B$39,2,FALSE)*(1+GROWTH!C827)</f>
        <v>20911.384518432937</v>
      </c>
    </row>
    <row r="828" spans="1:6" x14ac:dyDescent="0.25">
      <c r="A828" t="s">
        <v>14</v>
      </c>
      <c r="B828">
        <v>2042</v>
      </c>
      <c r="C828">
        <v>-6.7127927738682994E-2</v>
      </c>
      <c r="D828" s="29" t="str">
        <f t="shared" si="24"/>
        <v>F</v>
      </c>
      <c r="E828" s="29" t="str">
        <f t="shared" si="25"/>
        <v>60_64</v>
      </c>
      <c r="F828" s="29">
        <f>VLOOKUP(A828,POPN!$A$1:$B$39,2,FALSE)*(1+GROWTH!C828)</f>
        <v>21401.018209746871</v>
      </c>
    </row>
    <row r="829" spans="1:6" x14ac:dyDescent="0.25">
      <c r="A829" t="s">
        <v>14</v>
      </c>
      <c r="B829">
        <v>2043</v>
      </c>
      <c r="C829">
        <v>-4.3036445751496802E-2</v>
      </c>
      <c r="D829" s="29" t="str">
        <f t="shared" si="24"/>
        <v>F</v>
      </c>
      <c r="E829" s="29" t="str">
        <f t="shared" si="25"/>
        <v>60_64</v>
      </c>
      <c r="F829" s="29">
        <f>VLOOKUP(A829,POPN!$A$1:$B$39,2,FALSE)*(1+GROWTH!C829)</f>
        <v>21953.700898014911</v>
      </c>
    </row>
    <row r="830" spans="1:6" x14ac:dyDescent="0.25">
      <c r="A830" t="s">
        <v>14</v>
      </c>
      <c r="B830">
        <v>2044</v>
      </c>
      <c r="C830">
        <v>-2.9618737527570799E-2</v>
      </c>
      <c r="D830" s="29" t="str">
        <f t="shared" si="24"/>
        <v>F</v>
      </c>
      <c r="E830" s="29" t="str">
        <f t="shared" si="25"/>
        <v>60_64</v>
      </c>
      <c r="F830" s="29">
        <f>VLOOKUP(A830,POPN!$A$1:$B$39,2,FALSE)*(1+GROWTH!C830)</f>
        <v>22261.516542379999</v>
      </c>
    </row>
    <row r="831" spans="1:6" x14ac:dyDescent="0.25">
      <c r="A831" t="s">
        <v>14</v>
      </c>
      <c r="B831">
        <v>2045</v>
      </c>
      <c r="C831">
        <v>-1.5990967335363999E-2</v>
      </c>
      <c r="D831" s="29" t="str">
        <f t="shared" si="24"/>
        <v>F</v>
      </c>
      <c r="E831" s="29" t="str">
        <f t="shared" si="25"/>
        <v>60_64</v>
      </c>
      <c r="F831" s="29">
        <f>VLOOKUP(A831,POPN!$A$1:$B$39,2,FALSE)*(1+GROWTH!C831)</f>
        <v>22574.151218359413</v>
      </c>
    </row>
    <row r="832" spans="1:6" x14ac:dyDescent="0.25">
      <c r="A832" t="s">
        <v>14</v>
      </c>
      <c r="B832">
        <v>2046</v>
      </c>
      <c r="C832">
        <v>-6.5381787627350699E-3</v>
      </c>
      <c r="D832" s="29" t="str">
        <f t="shared" si="24"/>
        <v>F</v>
      </c>
      <c r="E832" s="29" t="str">
        <f t="shared" si="25"/>
        <v>60_64</v>
      </c>
      <c r="F832" s="29">
        <f>VLOOKUP(A832,POPN!$A$1:$B$39,2,FALSE)*(1+GROWTH!C832)</f>
        <v>22791.007641004093</v>
      </c>
    </row>
    <row r="833" spans="1:6" x14ac:dyDescent="0.25">
      <c r="A833" t="s">
        <v>14</v>
      </c>
      <c r="B833">
        <v>2047</v>
      </c>
      <c r="C833">
        <v>1.73257360921471E-2</v>
      </c>
      <c r="D833" s="29" t="str">
        <f t="shared" si="24"/>
        <v>F</v>
      </c>
      <c r="E833" s="29" t="str">
        <f t="shared" si="25"/>
        <v>60_64</v>
      </c>
      <c r="F833" s="29">
        <f>VLOOKUP(A833,POPN!$A$1:$B$39,2,FALSE)*(1+GROWTH!C833)</f>
        <v>23338.469711689944</v>
      </c>
    </row>
    <row r="834" spans="1:6" x14ac:dyDescent="0.25">
      <c r="A834" t="s">
        <v>15</v>
      </c>
      <c r="B834">
        <v>2022</v>
      </c>
      <c r="C834">
        <v>-5.5778710515362602E-2</v>
      </c>
      <c r="D834" s="29" t="str">
        <f t="shared" si="24"/>
        <v>F</v>
      </c>
      <c r="E834" s="29" t="str">
        <f t="shared" si="25"/>
        <v>65_69</v>
      </c>
      <c r="F834" s="29">
        <f>VLOOKUP(A834,POPN!$A$1:$B$39,2,FALSE)*(1+GROWTH!C834)</f>
        <v>18911.808207087801</v>
      </c>
    </row>
    <row r="835" spans="1:6" x14ac:dyDescent="0.25">
      <c r="A835" t="s">
        <v>15</v>
      </c>
      <c r="B835">
        <v>2023</v>
      </c>
      <c r="C835">
        <v>-3.97817594640269E-2</v>
      </c>
      <c r="D835" s="29" t="str">
        <f t="shared" ref="D835:D898" si="26">LEFT(A835,1)</f>
        <v>F</v>
      </c>
      <c r="E835" s="29" t="str">
        <f t="shared" ref="E835:E898" si="27">MID(A835,3,LEN(A835)-2)</f>
        <v>65_69</v>
      </c>
      <c r="F835" s="29">
        <f>VLOOKUP(A835,POPN!$A$1:$B$39,2,FALSE)*(1+GROWTH!C835)</f>
        <v>19232.211139695006</v>
      </c>
    </row>
    <row r="836" spans="1:6" x14ac:dyDescent="0.25">
      <c r="A836" t="s">
        <v>15</v>
      </c>
      <c r="B836">
        <v>2024</v>
      </c>
      <c r="C836">
        <v>-2.6974169186562501E-2</v>
      </c>
      <c r="D836" s="29" t="str">
        <f t="shared" si="26"/>
        <v>F</v>
      </c>
      <c r="E836" s="29" t="str">
        <f t="shared" si="27"/>
        <v>65_69</v>
      </c>
      <c r="F836" s="29">
        <f>VLOOKUP(A836,POPN!$A$1:$B$39,2,FALSE)*(1+GROWTH!C836)</f>
        <v>19488.734365362339</v>
      </c>
    </row>
    <row r="837" spans="1:6" x14ac:dyDescent="0.25">
      <c r="A837" t="s">
        <v>15</v>
      </c>
      <c r="B837">
        <v>2025</v>
      </c>
      <c r="C837">
        <v>0</v>
      </c>
      <c r="D837" s="29" t="str">
        <f t="shared" si="26"/>
        <v>F</v>
      </c>
      <c r="E837" s="29" t="str">
        <f t="shared" si="27"/>
        <v>65_69</v>
      </c>
      <c r="F837" s="29">
        <f>VLOOKUP(A837,POPN!$A$1:$B$39,2,FALSE)*(1+GROWTH!C837)</f>
        <v>20029</v>
      </c>
    </row>
    <row r="838" spans="1:6" x14ac:dyDescent="0.25">
      <c r="A838" t="s">
        <v>15</v>
      </c>
      <c r="B838">
        <v>2026</v>
      </c>
      <c r="C838">
        <v>4.2665222427825597E-2</v>
      </c>
      <c r="D838" s="29" t="str">
        <f t="shared" si="26"/>
        <v>F</v>
      </c>
      <c r="E838" s="29" t="str">
        <f t="shared" si="27"/>
        <v>65_69</v>
      </c>
      <c r="F838" s="29">
        <f>VLOOKUP(A838,POPN!$A$1:$B$39,2,FALSE)*(1+GROWTH!C838)</f>
        <v>20883.54174000692</v>
      </c>
    </row>
    <row r="839" spans="1:6" x14ac:dyDescent="0.25">
      <c r="A839" t="s">
        <v>15</v>
      </c>
      <c r="B839">
        <v>2027</v>
      </c>
      <c r="C839">
        <v>7.5496582469548101E-2</v>
      </c>
      <c r="D839" s="29" t="str">
        <f t="shared" si="26"/>
        <v>F</v>
      </c>
      <c r="E839" s="29" t="str">
        <f t="shared" si="27"/>
        <v>65_69</v>
      </c>
      <c r="F839" s="29">
        <f>VLOOKUP(A839,POPN!$A$1:$B$39,2,FALSE)*(1+GROWTH!C839)</f>
        <v>21541.121050282582</v>
      </c>
    </row>
    <row r="840" spans="1:6" x14ac:dyDescent="0.25">
      <c r="A840" t="s">
        <v>15</v>
      </c>
      <c r="B840">
        <v>2028</v>
      </c>
      <c r="C840">
        <v>0.11009312331693499</v>
      </c>
      <c r="D840" s="29" t="str">
        <f t="shared" si="26"/>
        <v>F</v>
      </c>
      <c r="E840" s="29" t="str">
        <f t="shared" si="27"/>
        <v>65_69</v>
      </c>
      <c r="F840" s="29">
        <f>VLOOKUP(A840,POPN!$A$1:$B$39,2,FALSE)*(1+GROWTH!C840)</f>
        <v>22234.055166914888</v>
      </c>
    </row>
    <row r="841" spans="1:6" x14ac:dyDescent="0.25">
      <c r="A841" t="s">
        <v>15</v>
      </c>
      <c r="B841">
        <v>2029</v>
      </c>
      <c r="C841">
        <v>0.148420614503568</v>
      </c>
      <c r="D841" s="29" t="str">
        <f t="shared" si="26"/>
        <v>F</v>
      </c>
      <c r="E841" s="29" t="str">
        <f t="shared" si="27"/>
        <v>65_69</v>
      </c>
      <c r="F841" s="29">
        <f>VLOOKUP(A841,POPN!$A$1:$B$39,2,FALSE)*(1+GROWTH!C841)</f>
        <v>23001.716487891965</v>
      </c>
    </row>
    <row r="842" spans="1:6" x14ac:dyDescent="0.25">
      <c r="A842" t="s">
        <v>15</v>
      </c>
      <c r="B842">
        <v>2030</v>
      </c>
      <c r="C842">
        <v>0.18310240556032001</v>
      </c>
      <c r="D842" s="29" t="str">
        <f t="shared" si="26"/>
        <v>F</v>
      </c>
      <c r="E842" s="29" t="str">
        <f t="shared" si="27"/>
        <v>65_69</v>
      </c>
      <c r="F842" s="29">
        <f>VLOOKUP(A842,POPN!$A$1:$B$39,2,FALSE)*(1+GROWTH!C842)</f>
        <v>23696.35808096765</v>
      </c>
    </row>
    <row r="843" spans="1:6" x14ac:dyDescent="0.25">
      <c r="A843" t="s">
        <v>15</v>
      </c>
      <c r="B843">
        <v>2031</v>
      </c>
      <c r="C843">
        <v>0.209705485600237</v>
      </c>
      <c r="D843" s="29" t="str">
        <f t="shared" si="26"/>
        <v>F</v>
      </c>
      <c r="E843" s="29" t="str">
        <f t="shared" si="27"/>
        <v>65_69</v>
      </c>
      <c r="F843" s="29">
        <f>VLOOKUP(A843,POPN!$A$1:$B$39,2,FALSE)*(1+GROWTH!C843)</f>
        <v>24229.191171087146</v>
      </c>
    </row>
    <row r="844" spans="1:6" x14ac:dyDescent="0.25">
      <c r="A844" t="s">
        <v>15</v>
      </c>
      <c r="B844">
        <v>2032</v>
      </c>
      <c r="C844">
        <v>0.22435849217453199</v>
      </c>
      <c r="D844" s="29" t="str">
        <f t="shared" si="26"/>
        <v>F</v>
      </c>
      <c r="E844" s="29" t="str">
        <f t="shared" si="27"/>
        <v>65_69</v>
      </c>
      <c r="F844" s="29">
        <f>VLOOKUP(A844,POPN!$A$1:$B$39,2,FALSE)*(1+GROWTH!C844)</f>
        <v>24522.676239763703</v>
      </c>
    </row>
    <row r="845" spans="1:6" x14ac:dyDescent="0.25">
      <c r="A845" t="s">
        <v>15</v>
      </c>
      <c r="B845">
        <v>2033</v>
      </c>
      <c r="C845">
        <v>0.23163986299789899</v>
      </c>
      <c r="D845" s="29" t="str">
        <f t="shared" si="26"/>
        <v>F</v>
      </c>
      <c r="E845" s="29" t="str">
        <f t="shared" si="27"/>
        <v>65_69</v>
      </c>
      <c r="F845" s="29">
        <f>VLOOKUP(A845,POPN!$A$1:$B$39,2,FALSE)*(1+GROWTH!C845)</f>
        <v>24668.51481598492</v>
      </c>
    </row>
    <row r="846" spans="1:6" x14ac:dyDescent="0.25">
      <c r="A846" t="s">
        <v>15</v>
      </c>
      <c r="B846">
        <v>2034</v>
      </c>
      <c r="C846">
        <v>0.23218646728147099</v>
      </c>
      <c r="D846" s="29" t="str">
        <f t="shared" si="26"/>
        <v>F</v>
      </c>
      <c r="E846" s="29" t="str">
        <f t="shared" si="27"/>
        <v>65_69</v>
      </c>
      <c r="F846" s="29">
        <f>VLOOKUP(A846,POPN!$A$1:$B$39,2,FALSE)*(1+GROWTH!C846)</f>
        <v>24679.462753180585</v>
      </c>
    </row>
    <row r="847" spans="1:6" x14ac:dyDescent="0.25">
      <c r="A847" t="s">
        <v>15</v>
      </c>
      <c r="B847">
        <v>2035</v>
      </c>
      <c r="C847">
        <v>0.226946086764654</v>
      </c>
      <c r="D847" s="29" t="str">
        <f t="shared" si="26"/>
        <v>F</v>
      </c>
      <c r="E847" s="29" t="str">
        <f t="shared" si="27"/>
        <v>65_69</v>
      </c>
      <c r="F847" s="29">
        <f>VLOOKUP(A847,POPN!$A$1:$B$39,2,FALSE)*(1+GROWTH!C847)</f>
        <v>24574.503171809254</v>
      </c>
    </row>
    <row r="848" spans="1:6" x14ac:dyDescent="0.25">
      <c r="A848" t="s">
        <v>15</v>
      </c>
      <c r="B848">
        <v>2036</v>
      </c>
      <c r="C848">
        <v>0.21942400946778801</v>
      </c>
      <c r="D848" s="29" t="str">
        <f t="shared" si="26"/>
        <v>F</v>
      </c>
      <c r="E848" s="29" t="str">
        <f t="shared" si="27"/>
        <v>65_69</v>
      </c>
      <c r="F848" s="29">
        <f>VLOOKUP(A848,POPN!$A$1:$B$39,2,FALSE)*(1+GROWTH!C848)</f>
        <v>24423.843485630325</v>
      </c>
    </row>
    <row r="849" spans="1:6" x14ac:dyDescent="0.25">
      <c r="A849" t="s">
        <v>15</v>
      </c>
      <c r="B849">
        <v>2037</v>
      </c>
      <c r="C849">
        <v>0.21227302131756701</v>
      </c>
      <c r="D849" s="29" t="str">
        <f t="shared" si="26"/>
        <v>F</v>
      </c>
      <c r="E849" s="29" t="str">
        <f t="shared" si="27"/>
        <v>65_69</v>
      </c>
      <c r="F849" s="29">
        <f>VLOOKUP(A849,POPN!$A$1:$B$39,2,FALSE)*(1+GROWTH!C849)</f>
        <v>24280.616343969548</v>
      </c>
    </row>
    <row r="850" spans="1:6" x14ac:dyDescent="0.25">
      <c r="A850" t="s">
        <v>15</v>
      </c>
      <c r="B850">
        <v>2038</v>
      </c>
      <c r="C850">
        <v>0.19046401187485301</v>
      </c>
      <c r="D850" s="29" t="str">
        <f t="shared" si="26"/>
        <v>F</v>
      </c>
      <c r="E850" s="29" t="str">
        <f t="shared" si="27"/>
        <v>65_69</v>
      </c>
      <c r="F850" s="29">
        <f>VLOOKUP(A850,POPN!$A$1:$B$39,2,FALSE)*(1+GROWTH!C850)</f>
        <v>23843.803693841433</v>
      </c>
    </row>
    <row r="851" spans="1:6" x14ac:dyDescent="0.25">
      <c r="A851" t="s">
        <v>15</v>
      </c>
      <c r="B851">
        <v>2039</v>
      </c>
      <c r="C851">
        <v>0.162276280884396</v>
      </c>
      <c r="D851" s="29" t="str">
        <f t="shared" si="26"/>
        <v>F</v>
      </c>
      <c r="E851" s="29" t="str">
        <f t="shared" si="27"/>
        <v>65_69</v>
      </c>
      <c r="F851" s="29">
        <f>VLOOKUP(A851,POPN!$A$1:$B$39,2,FALSE)*(1+GROWTH!C851)</f>
        <v>23279.231629833568</v>
      </c>
    </row>
    <row r="852" spans="1:6" x14ac:dyDescent="0.25">
      <c r="A852" t="s">
        <v>15</v>
      </c>
      <c r="B852">
        <v>2040</v>
      </c>
      <c r="C852">
        <v>0.13462011002291699</v>
      </c>
      <c r="D852" s="29" t="str">
        <f t="shared" si="26"/>
        <v>F</v>
      </c>
      <c r="E852" s="29" t="str">
        <f t="shared" si="27"/>
        <v>65_69</v>
      </c>
      <c r="F852" s="29">
        <f>VLOOKUP(A852,POPN!$A$1:$B$39,2,FALSE)*(1+GROWTH!C852)</f>
        <v>22725.306183649005</v>
      </c>
    </row>
    <row r="853" spans="1:6" x14ac:dyDescent="0.25">
      <c r="A853" t="s">
        <v>15</v>
      </c>
      <c r="B853">
        <v>2041</v>
      </c>
      <c r="C853">
        <v>9.5334807660483606E-2</v>
      </c>
      <c r="D853" s="29" t="str">
        <f t="shared" si="26"/>
        <v>F</v>
      </c>
      <c r="E853" s="29" t="str">
        <f t="shared" si="27"/>
        <v>65_69</v>
      </c>
      <c r="F853" s="29">
        <f>VLOOKUP(A853,POPN!$A$1:$B$39,2,FALSE)*(1+GROWTH!C853)</f>
        <v>21938.460862631826</v>
      </c>
    </row>
    <row r="854" spans="1:6" x14ac:dyDescent="0.25">
      <c r="A854" t="s">
        <v>15</v>
      </c>
      <c r="B854">
        <v>2042</v>
      </c>
      <c r="C854">
        <v>5.8973086007431799E-2</v>
      </c>
      <c r="D854" s="29" t="str">
        <f t="shared" si="26"/>
        <v>F</v>
      </c>
      <c r="E854" s="29" t="str">
        <f t="shared" si="27"/>
        <v>65_69</v>
      </c>
      <c r="F854" s="29">
        <f>VLOOKUP(A854,POPN!$A$1:$B$39,2,FALSE)*(1+GROWTH!C854)</f>
        <v>21210.171939642853</v>
      </c>
    </row>
    <row r="855" spans="1:6" x14ac:dyDescent="0.25">
      <c r="A855" t="s">
        <v>15</v>
      </c>
      <c r="B855">
        <v>2043</v>
      </c>
      <c r="C855">
        <v>3.9977333473745498E-2</v>
      </c>
      <c r="D855" s="29" t="str">
        <f t="shared" si="26"/>
        <v>F</v>
      </c>
      <c r="E855" s="29" t="str">
        <f t="shared" si="27"/>
        <v>65_69</v>
      </c>
      <c r="F855" s="29">
        <f>VLOOKUP(A855,POPN!$A$1:$B$39,2,FALSE)*(1+GROWTH!C855)</f>
        <v>20829.706012145649</v>
      </c>
    </row>
    <row r="856" spans="1:6" x14ac:dyDescent="0.25">
      <c r="A856" t="s">
        <v>15</v>
      </c>
      <c r="B856">
        <v>2044</v>
      </c>
      <c r="C856">
        <v>4.3903857822709703E-2</v>
      </c>
      <c r="D856" s="29" t="str">
        <f t="shared" si="26"/>
        <v>F</v>
      </c>
      <c r="E856" s="29" t="str">
        <f t="shared" si="27"/>
        <v>65_69</v>
      </c>
      <c r="F856" s="29">
        <f>VLOOKUP(A856,POPN!$A$1:$B$39,2,FALSE)*(1+GROWTH!C856)</f>
        <v>20908.350368331056</v>
      </c>
    </row>
    <row r="857" spans="1:6" x14ac:dyDescent="0.25">
      <c r="A857" t="s">
        <v>15</v>
      </c>
      <c r="B857">
        <v>2045</v>
      </c>
      <c r="C857">
        <v>5.98306028192747E-2</v>
      </c>
      <c r="D857" s="29" t="str">
        <f t="shared" si="26"/>
        <v>F</v>
      </c>
      <c r="E857" s="29" t="str">
        <f t="shared" si="27"/>
        <v>65_69</v>
      </c>
      <c r="F857" s="29">
        <f>VLOOKUP(A857,POPN!$A$1:$B$39,2,FALSE)*(1+GROWTH!C857)</f>
        <v>21227.347143867253</v>
      </c>
    </row>
    <row r="858" spans="1:6" x14ac:dyDescent="0.25">
      <c r="A858" t="s">
        <v>15</v>
      </c>
      <c r="B858">
        <v>2046</v>
      </c>
      <c r="C858">
        <v>9.2456359414882699E-2</v>
      </c>
      <c r="D858" s="29" t="str">
        <f t="shared" si="26"/>
        <v>F</v>
      </c>
      <c r="E858" s="29" t="str">
        <f t="shared" si="27"/>
        <v>65_69</v>
      </c>
      <c r="F858" s="29">
        <f>VLOOKUP(A858,POPN!$A$1:$B$39,2,FALSE)*(1+GROWTH!C858)</f>
        <v>21880.808422720685</v>
      </c>
    </row>
    <row r="859" spans="1:6" x14ac:dyDescent="0.25">
      <c r="A859" t="s">
        <v>15</v>
      </c>
      <c r="B859">
        <v>2047</v>
      </c>
      <c r="C859">
        <v>0.118462687989248</v>
      </c>
      <c r="D859" s="29" t="str">
        <f t="shared" si="26"/>
        <v>F</v>
      </c>
      <c r="E859" s="29" t="str">
        <f t="shared" si="27"/>
        <v>65_69</v>
      </c>
      <c r="F859" s="29">
        <f>VLOOKUP(A859,POPN!$A$1:$B$39,2,FALSE)*(1+GROWTH!C859)</f>
        <v>22401.689177736651</v>
      </c>
    </row>
    <row r="860" spans="1:6" x14ac:dyDescent="0.25">
      <c r="A860" t="s">
        <v>16</v>
      </c>
      <c r="B860">
        <v>2022</v>
      </c>
      <c r="C860">
        <v>3.2462646458131801E-2</v>
      </c>
      <c r="D860" s="29" t="str">
        <f t="shared" si="26"/>
        <v>F</v>
      </c>
      <c r="E860" s="29" t="str">
        <f t="shared" si="27"/>
        <v>70_74</v>
      </c>
      <c r="F860" s="29">
        <f>VLOOKUP(A860,POPN!$A$1:$B$39,2,FALSE)*(1+GROWTH!C860)</f>
        <v>18883.741803719233</v>
      </c>
    </row>
    <row r="861" spans="1:6" x14ac:dyDescent="0.25">
      <c r="A861" t="s">
        <v>16</v>
      </c>
      <c r="B861">
        <v>2023</v>
      </c>
      <c r="C861">
        <v>9.5668064065355298E-3</v>
      </c>
      <c r="D861" s="29" t="str">
        <f t="shared" si="26"/>
        <v>F</v>
      </c>
      <c r="E861" s="29" t="str">
        <f t="shared" si="27"/>
        <v>70_74</v>
      </c>
      <c r="F861" s="29">
        <f>VLOOKUP(A861,POPN!$A$1:$B$39,2,FALSE)*(1+GROWTH!C861)</f>
        <v>18464.976889175534</v>
      </c>
    </row>
    <row r="862" spans="1:6" x14ac:dyDescent="0.25">
      <c r="A862" t="s">
        <v>16</v>
      </c>
      <c r="B862">
        <v>2024</v>
      </c>
      <c r="C862">
        <v>5.9281952058475402E-3</v>
      </c>
      <c r="D862" s="29" t="str">
        <f t="shared" si="26"/>
        <v>F</v>
      </c>
      <c r="E862" s="29" t="str">
        <f t="shared" si="27"/>
        <v>70_74</v>
      </c>
      <c r="F862" s="29">
        <f>VLOOKUP(A862,POPN!$A$1:$B$39,2,FALSE)*(1+GROWTH!C862)</f>
        <v>18398.426690314955</v>
      </c>
    </row>
    <row r="863" spans="1:6" x14ac:dyDescent="0.25">
      <c r="A863" t="s">
        <v>16</v>
      </c>
      <c r="B863">
        <v>2025</v>
      </c>
      <c r="C863">
        <v>0</v>
      </c>
      <c r="D863" s="29" t="str">
        <f t="shared" si="26"/>
        <v>F</v>
      </c>
      <c r="E863" s="29" t="str">
        <f t="shared" si="27"/>
        <v>70_74</v>
      </c>
      <c r="F863" s="29">
        <f>VLOOKUP(A863,POPN!$A$1:$B$39,2,FALSE)*(1+GROWTH!C863)</f>
        <v>18290</v>
      </c>
    </row>
    <row r="864" spans="1:6" x14ac:dyDescent="0.25">
      <c r="A864" t="s">
        <v>16</v>
      </c>
      <c r="B864">
        <v>2026</v>
      </c>
      <c r="C864">
        <v>-5.6164678060840597E-3</v>
      </c>
      <c r="D864" s="29" t="str">
        <f t="shared" si="26"/>
        <v>F</v>
      </c>
      <c r="E864" s="29" t="str">
        <f t="shared" si="27"/>
        <v>70_74</v>
      </c>
      <c r="F864" s="29">
        <f>VLOOKUP(A864,POPN!$A$1:$B$39,2,FALSE)*(1+GROWTH!C864)</f>
        <v>18187.274803826724</v>
      </c>
    </row>
    <row r="865" spans="1:6" x14ac:dyDescent="0.25">
      <c r="A865" t="s">
        <v>16</v>
      </c>
      <c r="B865">
        <v>2027</v>
      </c>
      <c r="C865">
        <v>3.4021283456949001E-3</v>
      </c>
      <c r="D865" s="29" t="str">
        <f t="shared" si="26"/>
        <v>F</v>
      </c>
      <c r="E865" s="29" t="str">
        <f t="shared" si="27"/>
        <v>70_74</v>
      </c>
      <c r="F865" s="29">
        <f>VLOOKUP(A865,POPN!$A$1:$B$39,2,FALSE)*(1+GROWTH!C865)</f>
        <v>18352.22492744276</v>
      </c>
    </row>
    <row r="866" spans="1:6" x14ac:dyDescent="0.25">
      <c r="A866" t="s">
        <v>16</v>
      </c>
      <c r="B866">
        <v>2028</v>
      </c>
      <c r="C866">
        <v>2.1278082339030498E-2</v>
      </c>
      <c r="D866" s="29" t="str">
        <f t="shared" si="26"/>
        <v>F</v>
      </c>
      <c r="E866" s="29" t="str">
        <f t="shared" si="27"/>
        <v>70_74</v>
      </c>
      <c r="F866" s="29">
        <f>VLOOKUP(A866,POPN!$A$1:$B$39,2,FALSE)*(1+GROWTH!C866)</f>
        <v>18679.176125980866</v>
      </c>
    </row>
    <row r="867" spans="1:6" x14ac:dyDescent="0.25">
      <c r="A867" t="s">
        <v>16</v>
      </c>
      <c r="B867">
        <v>2029</v>
      </c>
      <c r="C867">
        <v>3.6359238955175802E-2</v>
      </c>
      <c r="D867" s="29" t="str">
        <f t="shared" si="26"/>
        <v>F</v>
      </c>
      <c r="E867" s="29" t="str">
        <f t="shared" si="27"/>
        <v>70_74</v>
      </c>
      <c r="F867" s="29">
        <f>VLOOKUP(A867,POPN!$A$1:$B$39,2,FALSE)*(1+GROWTH!C867)</f>
        <v>18955.010480490168</v>
      </c>
    </row>
    <row r="868" spans="1:6" x14ac:dyDescent="0.25">
      <c r="A868" t="s">
        <v>16</v>
      </c>
      <c r="B868">
        <v>2030</v>
      </c>
      <c r="C868">
        <v>6.5962592712028298E-2</v>
      </c>
      <c r="D868" s="29" t="str">
        <f t="shared" si="26"/>
        <v>F</v>
      </c>
      <c r="E868" s="29" t="str">
        <f t="shared" si="27"/>
        <v>70_74</v>
      </c>
      <c r="F868" s="29">
        <f>VLOOKUP(A868,POPN!$A$1:$B$39,2,FALSE)*(1+GROWTH!C868)</f>
        <v>19496.455820702995</v>
      </c>
    </row>
    <row r="869" spans="1:6" x14ac:dyDescent="0.25">
      <c r="A869" t="s">
        <v>16</v>
      </c>
      <c r="B869">
        <v>2031</v>
      </c>
      <c r="C869">
        <v>0.111152316457057</v>
      </c>
      <c r="D869" s="29" t="str">
        <f t="shared" si="26"/>
        <v>F</v>
      </c>
      <c r="E869" s="29" t="str">
        <f t="shared" si="27"/>
        <v>70_74</v>
      </c>
      <c r="F869" s="29">
        <f>VLOOKUP(A869,POPN!$A$1:$B$39,2,FALSE)*(1+GROWTH!C869)</f>
        <v>20322.975867999572</v>
      </c>
    </row>
    <row r="870" spans="1:6" x14ac:dyDescent="0.25">
      <c r="A870" t="s">
        <v>16</v>
      </c>
      <c r="B870">
        <v>2032</v>
      </c>
      <c r="C870">
        <v>0.147253574115877</v>
      </c>
      <c r="D870" s="29" t="str">
        <f t="shared" si="26"/>
        <v>F</v>
      </c>
      <c r="E870" s="29" t="str">
        <f t="shared" si="27"/>
        <v>70_74</v>
      </c>
      <c r="F870" s="29">
        <f>VLOOKUP(A870,POPN!$A$1:$B$39,2,FALSE)*(1+GROWTH!C870)</f>
        <v>20983.267870579388</v>
      </c>
    </row>
    <row r="871" spans="1:6" x14ac:dyDescent="0.25">
      <c r="A871" t="s">
        <v>16</v>
      </c>
      <c r="B871">
        <v>2033</v>
      </c>
      <c r="C871">
        <v>0.18460711598409099</v>
      </c>
      <c r="D871" s="29" t="str">
        <f t="shared" si="26"/>
        <v>F</v>
      </c>
      <c r="E871" s="29" t="str">
        <f t="shared" si="27"/>
        <v>70_74</v>
      </c>
      <c r="F871" s="29">
        <f>VLOOKUP(A871,POPN!$A$1:$B$39,2,FALSE)*(1+GROWTH!C871)</f>
        <v>21666.464151349024</v>
      </c>
    </row>
    <row r="872" spans="1:6" x14ac:dyDescent="0.25">
      <c r="A872" t="s">
        <v>16</v>
      </c>
      <c r="B872">
        <v>2034</v>
      </c>
      <c r="C872">
        <v>0.225733634311512</v>
      </c>
      <c r="D872" s="29" t="str">
        <f t="shared" si="26"/>
        <v>F</v>
      </c>
      <c r="E872" s="29" t="str">
        <f t="shared" si="27"/>
        <v>70_74</v>
      </c>
      <c r="F872" s="29">
        <f>VLOOKUP(A872,POPN!$A$1:$B$39,2,FALSE)*(1+GROWTH!C872)</f>
        <v>22418.668171557554</v>
      </c>
    </row>
    <row r="873" spans="1:6" x14ac:dyDescent="0.25">
      <c r="A873" t="s">
        <v>16</v>
      </c>
      <c r="B873">
        <v>2035</v>
      </c>
      <c r="C873">
        <v>0.262872191766097</v>
      </c>
      <c r="D873" s="29" t="str">
        <f t="shared" si="26"/>
        <v>F</v>
      </c>
      <c r="E873" s="29" t="str">
        <f t="shared" si="27"/>
        <v>70_74</v>
      </c>
      <c r="F873" s="29">
        <f>VLOOKUP(A873,POPN!$A$1:$B$39,2,FALSE)*(1+GROWTH!C873)</f>
        <v>23097.932387401914</v>
      </c>
    </row>
    <row r="874" spans="1:6" x14ac:dyDescent="0.25">
      <c r="A874" t="s">
        <v>16</v>
      </c>
      <c r="B874">
        <v>2036</v>
      </c>
      <c r="C874">
        <v>0.29131462968934801</v>
      </c>
      <c r="D874" s="29" t="str">
        <f t="shared" si="26"/>
        <v>F</v>
      </c>
      <c r="E874" s="29" t="str">
        <f t="shared" si="27"/>
        <v>70_74</v>
      </c>
      <c r="F874" s="29">
        <f>VLOOKUP(A874,POPN!$A$1:$B$39,2,FALSE)*(1+GROWTH!C874)</f>
        <v>23618.144577018174</v>
      </c>
    </row>
    <row r="875" spans="1:6" x14ac:dyDescent="0.25">
      <c r="A875" t="s">
        <v>16</v>
      </c>
      <c r="B875">
        <v>2037</v>
      </c>
      <c r="C875">
        <v>0.30742771149091702</v>
      </c>
      <c r="D875" s="29" t="str">
        <f t="shared" si="26"/>
        <v>F</v>
      </c>
      <c r="E875" s="29" t="str">
        <f t="shared" si="27"/>
        <v>70_74</v>
      </c>
      <c r="F875" s="29">
        <f>VLOOKUP(A875,POPN!$A$1:$B$39,2,FALSE)*(1+GROWTH!C875)</f>
        <v>23912.852843168872</v>
      </c>
    </row>
    <row r="876" spans="1:6" x14ac:dyDescent="0.25">
      <c r="A876" t="s">
        <v>16</v>
      </c>
      <c r="B876">
        <v>2038</v>
      </c>
      <c r="C876">
        <v>0.31541438245727199</v>
      </c>
      <c r="D876" s="29" t="str">
        <f t="shared" si="26"/>
        <v>F</v>
      </c>
      <c r="E876" s="29" t="str">
        <f t="shared" si="27"/>
        <v>70_74</v>
      </c>
      <c r="F876" s="29">
        <f>VLOOKUP(A876,POPN!$A$1:$B$39,2,FALSE)*(1+GROWTH!C876)</f>
        <v>24058.929055143504</v>
      </c>
    </row>
    <row r="877" spans="1:6" x14ac:dyDescent="0.25">
      <c r="A877" t="s">
        <v>16</v>
      </c>
      <c r="B877">
        <v>2039</v>
      </c>
      <c r="C877">
        <v>0.31626357089111001</v>
      </c>
      <c r="D877" s="29" t="str">
        <f t="shared" si="26"/>
        <v>F</v>
      </c>
      <c r="E877" s="29" t="str">
        <f t="shared" si="27"/>
        <v>70_74</v>
      </c>
      <c r="F877" s="29">
        <f>VLOOKUP(A877,POPN!$A$1:$B$39,2,FALSE)*(1+GROWTH!C877)</f>
        <v>24074.460711598404</v>
      </c>
    </row>
    <row r="878" spans="1:6" x14ac:dyDescent="0.25">
      <c r="A878" t="s">
        <v>16</v>
      </c>
      <c r="B878">
        <v>2040</v>
      </c>
      <c r="C878">
        <v>0.31078684295388598</v>
      </c>
      <c r="D878" s="29" t="str">
        <f t="shared" si="26"/>
        <v>F</v>
      </c>
      <c r="E878" s="29" t="str">
        <f t="shared" si="27"/>
        <v>70_74</v>
      </c>
      <c r="F878" s="29">
        <f>VLOOKUP(A878,POPN!$A$1:$B$39,2,FALSE)*(1+GROWTH!C878)</f>
        <v>23974.291357626575</v>
      </c>
    </row>
    <row r="879" spans="1:6" x14ac:dyDescent="0.25">
      <c r="A879" t="s">
        <v>16</v>
      </c>
      <c r="B879">
        <v>2041</v>
      </c>
      <c r="C879">
        <v>0.30401483392453998</v>
      </c>
      <c r="D879" s="29" t="str">
        <f t="shared" si="26"/>
        <v>F</v>
      </c>
      <c r="E879" s="29" t="str">
        <f t="shared" si="27"/>
        <v>70_74</v>
      </c>
      <c r="F879" s="29">
        <f>VLOOKUP(A879,POPN!$A$1:$B$39,2,FALSE)*(1+GROWTH!C879)</f>
        <v>23850.431312479839</v>
      </c>
    </row>
    <row r="880" spans="1:6" x14ac:dyDescent="0.25">
      <c r="A880" t="s">
        <v>16</v>
      </c>
      <c r="B880">
        <v>2042</v>
      </c>
      <c r="C880">
        <v>0.29653875094055698</v>
      </c>
      <c r="D880" s="29" t="str">
        <f t="shared" si="26"/>
        <v>F</v>
      </c>
      <c r="E880" s="29" t="str">
        <f t="shared" si="27"/>
        <v>70_74</v>
      </c>
      <c r="F880" s="29">
        <f>VLOOKUP(A880,POPN!$A$1:$B$39,2,FALSE)*(1+GROWTH!C880)</f>
        <v>23713.693754702788</v>
      </c>
    </row>
    <row r="881" spans="1:6" x14ac:dyDescent="0.25">
      <c r="A881" t="s">
        <v>16</v>
      </c>
      <c r="B881">
        <v>2043</v>
      </c>
      <c r="C881">
        <v>0.27444910244007298</v>
      </c>
      <c r="D881" s="29" t="str">
        <f t="shared" si="26"/>
        <v>F</v>
      </c>
      <c r="E881" s="29" t="str">
        <f t="shared" si="27"/>
        <v>70_74</v>
      </c>
      <c r="F881" s="29">
        <f>VLOOKUP(A881,POPN!$A$1:$B$39,2,FALSE)*(1+GROWTH!C881)</f>
        <v>23309.674083628935</v>
      </c>
    </row>
    <row r="882" spans="1:6" x14ac:dyDescent="0.25">
      <c r="A882" t="s">
        <v>16</v>
      </c>
      <c r="B882">
        <v>2044</v>
      </c>
      <c r="C882">
        <v>0.245393958937977</v>
      </c>
      <c r="D882" s="29" t="str">
        <f t="shared" si="26"/>
        <v>F</v>
      </c>
      <c r="E882" s="29" t="str">
        <f t="shared" si="27"/>
        <v>70_74</v>
      </c>
      <c r="F882" s="29">
        <f>VLOOKUP(A882,POPN!$A$1:$B$39,2,FALSE)*(1+GROWTH!C882)</f>
        <v>22778.255508975599</v>
      </c>
    </row>
    <row r="883" spans="1:6" x14ac:dyDescent="0.25">
      <c r="A883" t="s">
        <v>16</v>
      </c>
      <c r="B883">
        <v>2045</v>
      </c>
      <c r="C883">
        <v>0.21715038159733399</v>
      </c>
      <c r="D883" s="29" t="str">
        <f t="shared" si="26"/>
        <v>F</v>
      </c>
      <c r="E883" s="29" t="str">
        <f t="shared" si="27"/>
        <v>70_74</v>
      </c>
      <c r="F883" s="29">
        <f>VLOOKUP(A883,POPN!$A$1:$B$39,2,FALSE)*(1+GROWTH!C883)</f>
        <v>22261.680479415238</v>
      </c>
    </row>
    <row r="884" spans="1:6" x14ac:dyDescent="0.25">
      <c r="A884" t="s">
        <v>16</v>
      </c>
      <c r="B884">
        <v>2046</v>
      </c>
      <c r="C884">
        <v>0.17678705793829899</v>
      </c>
      <c r="D884" s="29" t="str">
        <f t="shared" si="26"/>
        <v>F</v>
      </c>
      <c r="E884" s="29" t="str">
        <f t="shared" si="27"/>
        <v>70_74</v>
      </c>
      <c r="F884" s="29">
        <f>VLOOKUP(A884,POPN!$A$1:$B$39,2,FALSE)*(1+GROWTH!C884)</f>
        <v>21523.43528969149</v>
      </c>
    </row>
    <row r="885" spans="1:6" x14ac:dyDescent="0.25">
      <c r="A885" t="s">
        <v>16</v>
      </c>
      <c r="B885">
        <v>2047</v>
      </c>
      <c r="C885">
        <v>0.13978824035257501</v>
      </c>
      <c r="D885" s="29" t="str">
        <f t="shared" si="26"/>
        <v>F</v>
      </c>
      <c r="E885" s="29" t="str">
        <f t="shared" si="27"/>
        <v>70_74</v>
      </c>
      <c r="F885" s="29">
        <f>VLOOKUP(A885,POPN!$A$1:$B$39,2,FALSE)*(1+GROWTH!C885)</f>
        <v>20846.726916048596</v>
      </c>
    </row>
    <row r="886" spans="1:6" x14ac:dyDescent="0.25">
      <c r="A886" t="s">
        <v>17</v>
      </c>
      <c r="B886">
        <v>2022</v>
      </c>
      <c r="C886">
        <v>-8.4148494794882595E-2</v>
      </c>
      <c r="D886" s="29" t="str">
        <f t="shared" si="26"/>
        <v>F</v>
      </c>
      <c r="E886" s="29" t="str">
        <f t="shared" si="27"/>
        <v>75_79</v>
      </c>
      <c r="F886" s="29">
        <f>VLOOKUP(A886,POPN!$A$1:$B$39,2,FALSE)*(1+GROWTH!C886)</f>
        <v>16984.466164028901</v>
      </c>
    </row>
    <row r="887" spans="1:6" x14ac:dyDescent="0.25">
      <c r="A887" t="s">
        <v>17</v>
      </c>
      <c r="B887">
        <v>2023</v>
      </c>
      <c r="C887">
        <v>-4.1890091319749002E-2</v>
      </c>
      <c r="D887" s="29" t="str">
        <f t="shared" si="26"/>
        <v>F</v>
      </c>
      <c r="E887" s="29" t="str">
        <f t="shared" si="27"/>
        <v>75_79</v>
      </c>
      <c r="F887" s="29">
        <f>VLOOKUP(A887,POPN!$A$1:$B$39,2,FALSE)*(1+GROWTH!C887)</f>
        <v>17768.148256475255</v>
      </c>
    </row>
    <row r="888" spans="1:6" x14ac:dyDescent="0.25">
      <c r="A888" t="s">
        <v>17</v>
      </c>
      <c r="B888">
        <v>2024</v>
      </c>
      <c r="C888">
        <v>-1.20622230888389E-2</v>
      </c>
      <c r="D888" s="29" t="str">
        <f t="shared" si="26"/>
        <v>F</v>
      </c>
      <c r="E888" s="29" t="str">
        <f t="shared" si="27"/>
        <v>75_79</v>
      </c>
      <c r="F888" s="29">
        <f>VLOOKUP(A888,POPN!$A$1:$B$39,2,FALSE)*(1+GROWTH!C888)</f>
        <v>18321.306072817482</v>
      </c>
    </row>
    <row r="889" spans="1:6" x14ac:dyDescent="0.25">
      <c r="A889" t="s">
        <v>17</v>
      </c>
      <c r="B889">
        <v>2025</v>
      </c>
      <c r="C889">
        <v>0</v>
      </c>
      <c r="D889" s="29" t="str">
        <f t="shared" si="26"/>
        <v>F</v>
      </c>
      <c r="E889" s="29" t="str">
        <f t="shared" si="27"/>
        <v>75_79</v>
      </c>
      <c r="F889" s="29">
        <f>VLOOKUP(A889,POPN!$A$1:$B$39,2,FALSE)*(1+GROWTH!C889)</f>
        <v>18545</v>
      </c>
    </row>
    <row r="890" spans="1:6" x14ac:dyDescent="0.25">
      <c r="A890" t="s">
        <v>17</v>
      </c>
      <c r="B890">
        <v>2026</v>
      </c>
      <c r="C890">
        <v>9.5598669743156405E-3</v>
      </c>
      <c r="D890" s="29" t="str">
        <f t="shared" si="26"/>
        <v>F</v>
      </c>
      <c r="E890" s="29" t="str">
        <f t="shared" si="27"/>
        <v>75_79</v>
      </c>
      <c r="F890" s="29">
        <f>VLOOKUP(A890,POPN!$A$1:$B$39,2,FALSE)*(1+GROWTH!C890)</f>
        <v>18722.28773303868</v>
      </c>
    </row>
    <row r="891" spans="1:6" x14ac:dyDescent="0.25">
      <c r="A891" t="s">
        <v>17</v>
      </c>
      <c r="B891">
        <v>2027</v>
      </c>
      <c r="C891">
        <v>-2.47527433839221E-2</v>
      </c>
      <c r="D891" s="29" t="str">
        <f t="shared" si="26"/>
        <v>F</v>
      </c>
      <c r="E891" s="29" t="str">
        <f t="shared" si="27"/>
        <v>75_79</v>
      </c>
      <c r="F891" s="29">
        <f>VLOOKUP(A891,POPN!$A$1:$B$39,2,FALSE)*(1+GROWTH!C891)</f>
        <v>18085.960373945167</v>
      </c>
    </row>
    <row r="892" spans="1:6" x14ac:dyDescent="0.25">
      <c r="A892" t="s">
        <v>17</v>
      </c>
      <c r="B892">
        <v>2028</v>
      </c>
      <c r="C892">
        <v>-4.6266506342551798E-2</v>
      </c>
      <c r="D892" s="29" t="str">
        <f t="shared" si="26"/>
        <v>F</v>
      </c>
      <c r="E892" s="29" t="str">
        <f t="shared" si="27"/>
        <v>75_79</v>
      </c>
      <c r="F892" s="29">
        <f>VLOOKUP(A892,POPN!$A$1:$B$39,2,FALSE)*(1+GROWTH!C892)</f>
        <v>17686.987639877378</v>
      </c>
    </row>
    <row r="893" spans="1:6" x14ac:dyDescent="0.25">
      <c r="A893" t="s">
        <v>17</v>
      </c>
      <c r="B893">
        <v>2029</v>
      </c>
      <c r="C893">
        <v>-4.9727557332119997E-2</v>
      </c>
      <c r="D893" s="29" t="str">
        <f t="shared" si="26"/>
        <v>F</v>
      </c>
      <c r="E893" s="29" t="str">
        <f t="shared" si="27"/>
        <v>75_79</v>
      </c>
      <c r="F893" s="29">
        <f>VLOOKUP(A893,POPN!$A$1:$B$39,2,FALSE)*(1+GROWTH!C893)</f>
        <v>17622.802449275834</v>
      </c>
    </row>
    <row r="894" spans="1:6" x14ac:dyDescent="0.25">
      <c r="A894" t="s">
        <v>17</v>
      </c>
      <c r="B894">
        <v>2030</v>
      </c>
      <c r="C894">
        <v>-5.4618526101415703E-2</v>
      </c>
      <c r="D894" s="29" t="str">
        <f t="shared" si="26"/>
        <v>F</v>
      </c>
      <c r="E894" s="29" t="str">
        <f t="shared" si="27"/>
        <v>75_79</v>
      </c>
      <c r="F894" s="29">
        <f>VLOOKUP(A894,POPN!$A$1:$B$39,2,FALSE)*(1+GROWTH!C894)</f>
        <v>17532.099433449246</v>
      </c>
    </row>
    <row r="895" spans="1:6" x14ac:dyDescent="0.25">
      <c r="A895" t="s">
        <v>17</v>
      </c>
      <c r="B895">
        <v>2031</v>
      </c>
      <c r="C895">
        <v>-5.8252900458223698E-2</v>
      </c>
      <c r="D895" s="29" t="str">
        <f t="shared" si="26"/>
        <v>F</v>
      </c>
      <c r="E895" s="29" t="str">
        <f t="shared" si="27"/>
        <v>75_79</v>
      </c>
      <c r="F895" s="29">
        <f>VLOOKUP(A895,POPN!$A$1:$B$39,2,FALSE)*(1+GROWTH!C895)</f>
        <v>17464.699961002239</v>
      </c>
    </row>
    <row r="896" spans="1:6" x14ac:dyDescent="0.25">
      <c r="A896" t="s">
        <v>17</v>
      </c>
      <c r="B896">
        <v>2032</v>
      </c>
      <c r="C896">
        <v>-4.79726582388178E-2</v>
      </c>
      <c r="D896" s="29" t="str">
        <f t="shared" si="26"/>
        <v>F</v>
      </c>
      <c r="E896" s="29" t="str">
        <f t="shared" si="27"/>
        <v>75_79</v>
      </c>
      <c r="F896" s="29">
        <f>VLOOKUP(A896,POPN!$A$1:$B$39,2,FALSE)*(1+GROWTH!C896)</f>
        <v>17655.347052961122</v>
      </c>
    </row>
    <row r="897" spans="1:6" x14ac:dyDescent="0.25">
      <c r="A897" t="s">
        <v>17</v>
      </c>
      <c r="B897">
        <v>2033</v>
      </c>
      <c r="C897">
        <v>-2.95191359830143E-2</v>
      </c>
      <c r="D897" s="29" t="str">
        <f t="shared" si="26"/>
        <v>F</v>
      </c>
      <c r="E897" s="29" t="str">
        <f t="shared" si="27"/>
        <v>75_79</v>
      </c>
      <c r="F897" s="29">
        <f>VLOOKUP(A897,POPN!$A$1:$B$39,2,FALSE)*(1+GROWTH!C897)</f>
        <v>17997.567623195002</v>
      </c>
    </row>
    <row r="898" spans="1:6" x14ac:dyDescent="0.25">
      <c r="A898" t="s">
        <v>17</v>
      </c>
      <c r="B898">
        <v>2034</v>
      </c>
      <c r="C898">
        <v>-1.3221323107254599E-2</v>
      </c>
      <c r="D898" s="29" t="str">
        <f t="shared" si="26"/>
        <v>F</v>
      </c>
      <c r="E898" s="29" t="str">
        <f t="shared" si="27"/>
        <v>75_79</v>
      </c>
      <c r="F898" s="29">
        <f>VLOOKUP(A898,POPN!$A$1:$B$39,2,FALSE)*(1+GROWTH!C898)</f>
        <v>18299.810562975963</v>
      </c>
    </row>
    <row r="899" spans="1:6" x14ac:dyDescent="0.25">
      <c r="A899" t="s">
        <v>17</v>
      </c>
      <c r="B899">
        <v>2035</v>
      </c>
      <c r="C899">
        <v>1.60324114696738E-2</v>
      </c>
      <c r="D899" s="29" t="str">
        <f t="shared" ref="D899:D962" si="28">LEFT(A899,1)</f>
        <v>F</v>
      </c>
      <c r="E899" s="29" t="str">
        <f t="shared" ref="E899:E962" si="29">MID(A899,3,LEN(A899)-2)</f>
        <v>75_79</v>
      </c>
      <c r="F899" s="29">
        <f>VLOOKUP(A899,POPN!$A$1:$B$39,2,FALSE)*(1+GROWTH!C899)</f>
        <v>18842.3210707051</v>
      </c>
    </row>
    <row r="900" spans="1:6" x14ac:dyDescent="0.25">
      <c r="A900" t="s">
        <v>17</v>
      </c>
      <c r="B900">
        <v>2036</v>
      </c>
      <c r="C900">
        <v>5.9179097201911002E-2</v>
      </c>
      <c r="D900" s="29" t="str">
        <f t="shared" si="28"/>
        <v>F</v>
      </c>
      <c r="E900" s="29" t="str">
        <f t="shared" si="29"/>
        <v>75_79</v>
      </c>
      <c r="F900" s="29">
        <f>VLOOKUP(A900,POPN!$A$1:$B$39,2,FALSE)*(1+GROWTH!C900)</f>
        <v>19642.476357609441</v>
      </c>
    </row>
    <row r="901" spans="1:6" x14ac:dyDescent="0.25">
      <c r="A901" t="s">
        <v>17</v>
      </c>
      <c r="B901">
        <v>2037</v>
      </c>
      <c r="C901">
        <v>9.4753718327862904E-2</v>
      </c>
      <c r="D901" s="29" t="str">
        <f t="shared" si="28"/>
        <v>F</v>
      </c>
      <c r="E901" s="29" t="str">
        <f t="shared" si="29"/>
        <v>75_79</v>
      </c>
      <c r="F901" s="29">
        <f>VLOOKUP(A901,POPN!$A$1:$B$39,2,FALSE)*(1+GROWTH!C901)</f>
        <v>20302.207706390218</v>
      </c>
    </row>
    <row r="902" spans="1:6" x14ac:dyDescent="0.25">
      <c r="A902" t="s">
        <v>17</v>
      </c>
      <c r="B902">
        <v>2038</v>
      </c>
      <c r="C902">
        <v>0.13128703432885999</v>
      </c>
      <c r="D902" s="29" t="str">
        <f t="shared" si="28"/>
        <v>F</v>
      </c>
      <c r="E902" s="29" t="str">
        <f t="shared" si="29"/>
        <v>75_79</v>
      </c>
      <c r="F902" s="29">
        <f>VLOOKUP(A902,POPN!$A$1:$B$39,2,FALSE)*(1+GROWTH!C902)</f>
        <v>20979.718051628708</v>
      </c>
    </row>
    <row r="903" spans="1:6" x14ac:dyDescent="0.25">
      <c r="A903" t="s">
        <v>17</v>
      </c>
      <c r="B903">
        <v>2039</v>
      </c>
      <c r="C903">
        <v>0.171200155991031</v>
      </c>
      <c r="D903" s="29" t="str">
        <f t="shared" si="28"/>
        <v>F</v>
      </c>
      <c r="E903" s="29" t="str">
        <f t="shared" si="29"/>
        <v>75_79</v>
      </c>
      <c r="F903" s="29">
        <f>VLOOKUP(A903,POPN!$A$1:$B$39,2,FALSE)*(1+GROWTH!C903)</f>
        <v>21719.906892853669</v>
      </c>
    </row>
    <row r="904" spans="1:6" x14ac:dyDescent="0.25">
      <c r="A904" t="s">
        <v>17</v>
      </c>
      <c r="B904">
        <v>2040</v>
      </c>
      <c r="C904">
        <v>0.20721350189030799</v>
      </c>
      <c r="D904" s="29" t="str">
        <f t="shared" si="28"/>
        <v>F</v>
      </c>
      <c r="E904" s="29" t="str">
        <f t="shared" si="29"/>
        <v>75_79</v>
      </c>
      <c r="F904" s="29">
        <f>VLOOKUP(A904,POPN!$A$1:$B$39,2,FALSE)*(1+GROWTH!C904)</f>
        <v>22387.774392555762</v>
      </c>
    </row>
    <row r="905" spans="1:6" x14ac:dyDescent="0.25">
      <c r="A905" t="s">
        <v>17</v>
      </c>
      <c r="B905">
        <v>2041</v>
      </c>
      <c r="C905">
        <v>0.23496690606956799</v>
      </c>
      <c r="D905" s="29" t="str">
        <f t="shared" si="28"/>
        <v>F</v>
      </c>
      <c r="E905" s="29" t="str">
        <f t="shared" si="29"/>
        <v>75_79</v>
      </c>
      <c r="F905" s="29">
        <f>VLOOKUP(A905,POPN!$A$1:$B$39,2,FALSE)*(1+GROWTH!C905)</f>
        <v>22902.46127306014</v>
      </c>
    </row>
    <row r="906" spans="1:6" x14ac:dyDescent="0.25">
      <c r="A906" t="s">
        <v>17</v>
      </c>
      <c r="B906">
        <v>2042</v>
      </c>
      <c r="C906">
        <v>0.25112389370944499</v>
      </c>
      <c r="D906" s="29" t="str">
        <f t="shared" si="28"/>
        <v>F</v>
      </c>
      <c r="E906" s="29" t="str">
        <f t="shared" si="29"/>
        <v>75_79</v>
      </c>
      <c r="F906" s="29">
        <f>VLOOKUP(A906,POPN!$A$1:$B$39,2,FALSE)*(1+GROWTH!C906)</f>
        <v>23202.092608841656</v>
      </c>
    </row>
    <row r="907" spans="1:6" x14ac:dyDescent="0.25">
      <c r="A907" t="s">
        <v>17</v>
      </c>
      <c r="B907">
        <v>2043</v>
      </c>
      <c r="C907">
        <v>0.25943258262649899</v>
      </c>
      <c r="D907" s="29" t="str">
        <f t="shared" si="28"/>
        <v>F</v>
      </c>
      <c r="E907" s="29" t="str">
        <f t="shared" si="29"/>
        <v>75_79</v>
      </c>
      <c r="F907" s="29">
        <f>VLOOKUP(A907,POPN!$A$1:$B$39,2,FALSE)*(1+GROWTH!C907)</f>
        <v>23356.177244808423</v>
      </c>
    </row>
    <row r="908" spans="1:6" x14ac:dyDescent="0.25">
      <c r="A908" t="s">
        <v>17</v>
      </c>
      <c r="B908">
        <v>2044</v>
      </c>
      <c r="C908">
        <v>0.26099790928688299</v>
      </c>
      <c r="D908" s="29" t="str">
        <f t="shared" si="28"/>
        <v>F</v>
      </c>
      <c r="E908" s="29" t="str">
        <f t="shared" si="29"/>
        <v>75_79</v>
      </c>
      <c r="F908" s="29">
        <f>VLOOKUP(A908,POPN!$A$1:$B$39,2,FALSE)*(1+GROWTH!C908)</f>
        <v>23385.206227725244</v>
      </c>
    </row>
    <row r="909" spans="1:6" x14ac:dyDescent="0.25">
      <c r="A909" t="s">
        <v>17</v>
      </c>
      <c r="B909">
        <v>2045</v>
      </c>
      <c r="C909">
        <v>0.25637234192367298</v>
      </c>
      <c r="D909" s="29" t="str">
        <f t="shared" si="28"/>
        <v>F</v>
      </c>
      <c r="E909" s="29" t="str">
        <f t="shared" si="29"/>
        <v>75_79</v>
      </c>
      <c r="F909" s="29">
        <f>VLOOKUP(A909,POPN!$A$1:$B$39,2,FALSE)*(1+GROWTH!C909)</f>
        <v>23299.425080974514</v>
      </c>
    </row>
    <row r="910" spans="1:6" x14ac:dyDescent="0.25">
      <c r="A910" t="s">
        <v>17</v>
      </c>
      <c r="B910">
        <v>2046</v>
      </c>
      <c r="C910">
        <v>0.25127555165578003</v>
      </c>
      <c r="D910" s="29" t="str">
        <f t="shared" si="28"/>
        <v>F</v>
      </c>
      <c r="E910" s="29" t="str">
        <f t="shared" si="29"/>
        <v>75_79</v>
      </c>
      <c r="F910" s="29">
        <f>VLOOKUP(A910,POPN!$A$1:$B$39,2,FALSE)*(1+GROWTH!C910)</f>
        <v>23204.905105456441</v>
      </c>
    </row>
    <row r="911" spans="1:6" x14ac:dyDescent="0.25">
      <c r="A911" t="s">
        <v>17</v>
      </c>
      <c r="B911">
        <v>2047</v>
      </c>
      <c r="C911">
        <v>0.244765092673838</v>
      </c>
      <c r="D911" s="29" t="str">
        <f t="shared" si="28"/>
        <v>F</v>
      </c>
      <c r="E911" s="29" t="str">
        <f t="shared" si="29"/>
        <v>75_79</v>
      </c>
      <c r="F911" s="29">
        <f>VLOOKUP(A911,POPN!$A$1:$B$39,2,FALSE)*(1+GROWTH!C911)</f>
        <v>23084.168643636327</v>
      </c>
    </row>
    <row r="912" spans="1:6" x14ac:dyDescent="0.25">
      <c r="A912" t="s">
        <v>18</v>
      </c>
      <c r="B912">
        <v>2022</v>
      </c>
      <c r="C912">
        <v>-0.15276867045355799</v>
      </c>
      <c r="D912" s="29" t="str">
        <f t="shared" si="28"/>
        <v>F</v>
      </c>
      <c r="E912" s="29" t="str">
        <f t="shared" si="29"/>
        <v>80_84</v>
      </c>
      <c r="F912" s="29">
        <f>VLOOKUP(A912,POPN!$A$1:$B$39,2,FALSE)*(1+GROWTH!C912)</f>
        <v>10842.866555535364</v>
      </c>
    </row>
    <row r="913" spans="1:6" x14ac:dyDescent="0.25">
      <c r="A913" t="s">
        <v>18</v>
      </c>
      <c r="B913">
        <v>2023</v>
      </c>
      <c r="C913">
        <v>-0.105785411251649</v>
      </c>
      <c r="D913" s="29" t="str">
        <f t="shared" si="28"/>
        <v>F</v>
      </c>
      <c r="E913" s="29" t="str">
        <f t="shared" si="29"/>
        <v>80_84</v>
      </c>
      <c r="F913" s="29">
        <f>VLOOKUP(A913,POPN!$A$1:$B$39,2,FALSE)*(1+GROWTH!C913)</f>
        <v>11444.158306801397</v>
      </c>
    </row>
    <row r="914" spans="1:6" x14ac:dyDescent="0.25">
      <c r="A914" t="s">
        <v>18</v>
      </c>
      <c r="B914">
        <v>2024</v>
      </c>
      <c r="C914">
        <v>-5.4970492269527702E-2</v>
      </c>
      <c r="D914" s="29" t="str">
        <f t="shared" si="28"/>
        <v>F</v>
      </c>
      <c r="E914" s="29" t="str">
        <f t="shared" si="29"/>
        <v>80_84</v>
      </c>
      <c r="F914" s="29">
        <f>VLOOKUP(A914,POPN!$A$1:$B$39,2,FALSE)*(1+GROWTH!C914)</f>
        <v>12094.487639934585</v>
      </c>
    </row>
    <row r="915" spans="1:6" x14ac:dyDescent="0.25">
      <c r="A915" t="s">
        <v>18</v>
      </c>
      <c r="B915">
        <v>2025</v>
      </c>
      <c r="C915">
        <v>0</v>
      </c>
      <c r="D915" s="29" t="str">
        <f t="shared" si="28"/>
        <v>F</v>
      </c>
      <c r="E915" s="29" t="str">
        <f t="shared" si="29"/>
        <v>80_84</v>
      </c>
      <c r="F915" s="29">
        <f>VLOOKUP(A915,POPN!$A$1:$B$39,2,FALSE)*(1+GROWTH!C915)</f>
        <v>12798</v>
      </c>
    </row>
    <row r="916" spans="1:6" x14ac:dyDescent="0.25">
      <c r="A916" t="s">
        <v>18</v>
      </c>
      <c r="B916">
        <v>2026</v>
      </c>
      <c r="C916">
        <v>5.50652962228525E-2</v>
      </c>
      <c r="D916" s="29" t="str">
        <f t="shared" si="28"/>
        <v>F</v>
      </c>
      <c r="E916" s="29" t="str">
        <f t="shared" si="29"/>
        <v>80_84</v>
      </c>
      <c r="F916" s="29">
        <f>VLOOKUP(A916,POPN!$A$1:$B$39,2,FALSE)*(1+GROWTH!C916)</f>
        <v>13502.725661060065</v>
      </c>
    </row>
    <row r="917" spans="1:6" x14ac:dyDescent="0.25">
      <c r="A917" t="s">
        <v>18</v>
      </c>
      <c r="B917">
        <v>2027</v>
      </c>
      <c r="C917">
        <v>0.15900203038466701</v>
      </c>
      <c r="D917" s="29" t="str">
        <f t="shared" si="28"/>
        <v>F</v>
      </c>
      <c r="E917" s="29" t="str">
        <f t="shared" si="29"/>
        <v>80_84</v>
      </c>
      <c r="F917" s="29">
        <f>VLOOKUP(A917,POPN!$A$1:$B$39,2,FALSE)*(1+GROWTH!C917)</f>
        <v>14832.90798486297</v>
      </c>
    </row>
    <row r="918" spans="1:6" x14ac:dyDescent="0.25">
      <c r="A918" t="s">
        <v>18</v>
      </c>
      <c r="B918">
        <v>2028</v>
      </c>
      <c r="C918">
        <v>0.218151796929932</v>
      </c>
      <c r="D918" s="29" t="str">
        <f t="shared" si="28"/>
        <v>F</v>
      </c>
      <c r="E918" s="29" t="str">
        <f t="shared" si="29"/>
        <v>80_84</v>
      </c>
      <c r="F918" s="29">
        <f>VLOOKUP(A918,POPN!$A$1:$B$39,2,FALSE)*(1+GROWTH!C918)</f>
        <v>15589.906697109271</v>
      </c>
    </row>
    <row r="919" spans="1:6" x14ac:dyDescent="0.25">
      <c r="A919" t="s">
        <v>18</v>
      </c>
      <c r="B919">
        <v>2029</v>
      </c>
      <c r="C919">
        <v>0.25766134447806499</v>
      </c>
      <c r="D919" s="29" t="str">
        <f t="shared" si="28"/>
        <v>F</v>
      </c>
      <c r="E919" s="29" t="str">
        <f t="shared" si="29"/>
        <v>80_84</v>
      </c>
      <c r="F919" s="29">
        <f>VLOOKUP(A919,POPN!$A$1:$B$39,2,FALSE)*(1+GROWTH!C919)</f>
        <v>16095.549886630275</v>
      </c>
    </row>
    <row r="920" spans="1:6" x14ac:dyDescent="0.25">
      <c r="A920" t="s">
        <v>18</v>
      </c>
      <c r="B920">
        <v>2030</v>
      </c>
      <c r="C920">
        <v>0.27373061456662701</v>
      </c>
      <c r="D920" s="29" t="str">
        <f t="shared" si="28"/>
        <v>F</v>
      </c>
      <c r="E920" s="29" t="str">
        <f t="shared" si="29"/>
        <v>80_84</v>
      </c>
      <c r="F920" s="29">
        <f>VLOOKUP(A920,POPN!$A$1:$B$39,2,FALSE)*(1+GROWTH!C920)</f>
        <v>16301.204405223692</v>
      </c>
    </row>
    <row r="921" spans="1:6" x14ac:dyDescent="0.25">
      <c r="A921" t="s">
        <v>18</v>
      </c>
      <c r="B921">
        <v>2031</v>
      </c>
      <c r="C921">
        <v>0.28480687644674801</v>
      </c>
      <c r="D921" s="29" t="str">
        <f t="shared" si="28"/>
        <v>F</v>
      </c>
      <c r="E921" s="29" t="str">
        <f t="shared" si="29"/>
        <v>80_84</v>
      </c>
      <c r="F921" s="29">
        <f>VLOOKUP(A921,POPN!$A$1:$B$39,2,FALSE)*(1+GROWTH!C921)</f>
        <v>16442.958404765479</v>
      </c>
    </row>
    <row r="922" spans="1:6" x14ac:dyDescent="0.25">
      <c r="A922" t="s">
        <v>18</v>
      </c>
      <c r="B922">
        <v>2032</v>
      </c>
      <c r="C922">
        <v>0.24465740221367199</v>
      </c>
      <c r="D922" s="29" t="str">
        <f t="shared" si="28"/>
        <v>F</v>
      </c>
      <c r="E922" s="29" t="str">
        <f t="shared" si="29"/>
        <v>80_84</v>
      </c>
      <c r="F922" s="29">
        <f>VLOOKUP(A922,POPN!$A$1:$B$39,2,FALSE)*(1+GROWTH!C922)</f>
        <v>15929.125433530575</v>
      </c>
    </row>
    <row r="923" spans="1:6" x14ac:dyDescent="0.25">
      <c r="A923" t="s">
        <v>18</v>
      </c>
      <c r="B923">
        <v>2033</v>
      </c>
      <c r="C923">
        <v>0.218831225262093</v>
      </c>
      <c r="D923" s="29" t="str">
        <f t="shared" si="28"/>
        <v>F</v>
      </c>
      <c r="E923" s="29" t="str">
        <f t="shared" si="29"/>
        <v>80_84</v>
      </c>
      <c r="F923" s="29">
        <f>VLOOKUP(A923,POPN!$A$1:$B$39,2,FALSE)*(1+GROWTH!C923)</f>
        <v>15598.602020904265</v>
      </c>
    </row>
    <row r="924" spans="1:6" x14ac:dyDescent="0.25">
      <c r="A924" t="s">
        <v>18</v>
      </c>
      <c r="B924">
        <v>2034</v>
      </c>
      <c r="C924">
        <v>0.21571849546126101</v>
      </c>
      <c r="D924" s="29" t="str">
        <f t="shared" si="28"/>
        <v>F</v>
      </c>
      <c r="E924" s="29" t="str">
        <f t="shared" si="29"/>
        <v>80_84</v>
      </c>
      <c r="F924" s="29">
        <f>VLOOKUP(A924,POPN!$A$1:$B$39,2,FALSE)*(1+GROWTH!C924)</f>
        <v>15558.765304913219</v>
      </c>
    </row>
    <row r="925" spans="1:6" x14ac:dyDescent="0.25">
      <c r="A925" t="s">
        <v>18</v>
      </c>
      <c r="B925">
        <v>2035</v>
      </c>
      <c r="C925">
        <v>0.21096249713612999</v>
      </c>
      <c r="D925" s="29" t="str">
        <f t="shared" si="28"/>
        <v>F</v>
      </c>
      <c r="E925" s="29" t="str">
        <f t="shared" si="29"/>
        <v>80_84</v>
      </c>
      <c r="F925" s="29">
        <f>VLOOKUP(A925,POPN!$A$1:$B$39,2,FALSE)*(1+GROWTH!C925)</f>
        <v>15497.89803834819</v>
      </c>
    </row>
    <row r="926" spans="1:6" x14ac:dyDescent="0.25">
      <c r="A926" t="s">
        <v>18</v>
      </c>
      <c r="B926">
        <v>2036</v>
      </c>
      <c r="C926">
        <v>0.20851339500857199</v>
      </c>
      <c r="D926" s="29" t="str">
        <f t="shared" si="28"/>
        <v>F</v>
      </c>
      <c r="E926" s="29" t="str">
        <f t="shared" si="29"/>
        <v>80_84</v>
      </c>
      <c r="F926" s="29">
        <f>VLOOKUP(A926,POPN!$A$1:$B$39,2,FALSE)*(1+GROWTH!C926)</f>
        <v>15466.554429319705</v>
      </c>
    </row>
    <row r="927" spans="1:6" x14ac:dyDescent="0.25">
      <c r="A927" t="s">
        <v>18</v>
      </c>
      <c r="B927">
        <v>2037</v>
      </c>
      <c r="C927">
        <v>0.22455896410880299</v>
      </c>
      <c r="D927" s="29" t="str">
        <f t="shared" si="28"/>
        <v>F</v>
      </c>
      <c r="E927" s="29" t="str">
        <f t="shared" si="29"/>
        <v>80_84</v>
      </c>
      <c r="F927" s="29">
        <f>VLOOKUP(A927,POPN!$A$1:$B$39,2,FALSE)*(1+GROWTH!C927)</f>
        <v>15671.905622664461</v>
      </c>
    </row>
    <row r="928" spans="1:6" x14ac:dyDescent="0.25">
      <c r="A928" t="s">
        <v>18</v>
      </c>
      <c r="B928">
        <v>2038</v>
      </c>
      <c r="C928">
        <v>0.25111987169865002</v>
      </c>
      <c r="D928" s="29" t="str">
        <f t="shared" si="28"/>
        <v>F</v>
      </c>
      <c r="E928" s="29" t="str">
        <f t="shared" si="29"/>
        <v>80_84</v>
      </c>
      <c r="F928" s="29">
        <f>VLOOKUP(A928,POPN!$A$1:$B$39,2,FALSE)*(1+GROWTH!C928)</f>
        <v>16011.832117999324</v>
      </c>
    </row>
    <row r="929" spans="1:6" x14ac:dyDescent="0.25">
      <c r="A929" t="s">
        <v>18</v>
      </c>
      <c r="B929">
        <v>2039</v>
      </c>
      <c r="C929">
        <v>0.27558719198590598</v>
      </c>
      <c r="D929" s="29" t="str">
        <f t="shared" si="28"/>
        <v>F</v>
      </c>
      <c r="E929" s="29" t="str">
        <f t="shared" si="29"/>
        <v>80_84</v>
      </c>
      <c r="F929" s="29">
        <f>VLOOKUP(A929,POPN!$A$1:$B$39,2,FALSE)*(1+GROWTH!C929)</f>
        <v>16324.964883035625</v>
      </c>
    </row>
    <row r="930" spans="1:6" x14ac:dyDescent="0.25">
      <c r="A930" t="s">
        <v>18</v>
      </c>
      <c r="B930">
        <v>2040</v>
      </c>
      <c r="C930">
        <v>0.31539695205290103</v>
      </c>
      <c r="D930" s="29" t="str">
        <f t="shared" si="28"/>
        <v>F</v>
      </c>
      <c r="E930" s="29" t="str">
        <f t="shared" si="29"/>
        <v>80_84</v>
      </c>
      <c r="F930" s="29">
        <f>VLOOKUP(A930,POPN!$A$1:$B$39,2,FALSE)*(1+GROWTH!C930)</f>
        <v>16834.450192373028</v>
      </c>
    </row>
    <row r="931" spans="1:6" x14ac:dyDescent="0.25">
      <c r="A931" t="s">
        <v>18</v>
      </c>
      <c r="B931">
        <v>2041</v>
      </c>
      <c r="C931">
        <v>0.37217661976504401</v>
      </c>
      <c r="D931" s="29" t="str">
        <f t="shared" si="28"/>
        <v>F</v>
      </c>
      <c r="E931" s="29" t="str">
        <f t="shared" si="29"/>
        <v>80_84</v>
      </c>
      <c r="F931" s="29">
        <f>VLOOKUP(A931,POPN!$A$1:$B$39,2,FALSE)*(1+GROWTH!C931)</f>
        <v>17561.116379753032</v>
      </c>
    </row>
    <row r="932" spans="1:6" x14ac:dyDescent="0.25">
      <c r="A932" t="s">
        <v>18</v>
      </c>
      <c r="B932">
        <v>2042</v>
      </c>
      <c r="C932">
        <v>0.420637240572932</v>
      </c>
      <c r="D932" s="29" t="str">
        <f t="shared" si="28"/>
        <v>F</v>
      </c>
      <c r="E932" s="29" t="str">
        <f t="shared" si="29"/>
        <v>80_84</v>
      </c>
      <c r="F932" s="29">
        <f>VLOOKUP(A932,POPN!$A$1:$B$39,2,FALSE)*(1+GROWTH!C932)</f>
        <v>18181.315404852383</v>
      </c>
    </row>
    <row r="933" spans="1:6" x14ac:dyDescent="0.25">
      <c r="A933" t="s">
        <v>18</v>
      </c>
      <c r="B933">
        <v>2043</v>
      </c>
      <c r="C933">
        <v>0.47014070486739301</v>
      </c>
      <c r="D933" s="29" t="str">
        <f t="shared" si="28"/>
        <v>F</v>
      </c>
      <c r="E933" s="29" t="str">
        <f t="shared" si="29"/>
        <v>80_84</v>
      </c>
      <c r="F933" s="29">
        <f>VLOOKUP(A933,POPN!$A$1:$B$39,2,FALSE)*(1+GROWTH!C933)</f>
        <v>18814.860740892898</v>
      </c>
    </row>
    <row r="934" spans="1:6" x14ac:dyDescent="0.25">
      <c r="A934" t="s">
        <v>18</v>
      </c>
      <c r="B934">
        <v>2044</v>
      </c>
      <c r="C934">
        <v>0.523752340472598</v>
      </c>
      <c r="D934" s="29" t="str">
        <f t="shared" si="28"/>
        <v>F</v>
      </c>
      <c r="E934" s="29" t="str">
        <f t="shared" si="29"/>
        <v>80_84</v>
      </c>
      <c r="F934" s="29">
        <f>VLOOKUP(A934,POPN!$A$1:$B$39,2,FALSE)*(1+GROWTH!C934)</f>
        <v>19500.98245336831</v>
      </c>
    </row>
    <row r="935" spans="1:6" x14ac:dyDescent="0.25">
      <c r="A935" t="s">
        <v>18</v>
      </c>
      <c r="B935">
        <v>2045</v>
      </c>
      <c r="C935">
        <v>0.57197595139717305</v>
      </c>
      <c r="D935" s="29" t="str">
        <f t="shared" si="28"/>
        <v>F</v>
      </c>
      <c r="E935" s="29" t="str">
        <f t="shared" si="29"/>
        <v>80_84</v>
      </c>
      <c r="F935" s="29">
        <f>VLOOKUP(A935,POPN!$A$1:$B$39,2,FALSE)*(1+GROWTH!C935)</f>
        <v>20118.148225981022</v>
      </c>
    </row>
    <row r="936" spans="1:6" x14ac:dyDescent="0.25">
      <c r="A936" t="s">
        <v>18</v>
      </c>
      <c r="B936">
        <v>2046</v>
      </c>
      <c r="C936">
        <v>0.60972372547935205</v>
      </c>
      <c r="D936" s="29" t="str">
        <f t="shared" si="28"/>
        <v>F</v>
      </c>
      <c r="E936" s="29" t="str">
        <f t="shared" si="29"/>
        <v>80_84</v>
      </c>
      <c r="F936" s="29">
        <f>VLOOKUP(A936,POPN!$A$1:$B$39,2,FALSE)*(1+GROWTH!C936)</f>
        <v>20601.244238684747</v>
      </c>
    </row>
    <row r="937" spans="1:6" x14ac:dyDescent="0.25">
      <c r="A937" t="s">
        <v>18</v>
      </c>
      <c r="B937">
        <v>2047</v>
      </c>
      <c r="C937">
        <v>0.63250827559509204</v>
      </c>
      <c r="D937" s="29" t="str">
        <f t="shared" si="28"/>
        <v>F</v>
      </c>
      <c r="E937" s="29" t="str">
        <f t="shared" si="29"/>
        <v>80_84</v>
      </c>
      <c r="F937" s="29">
        <f>VLOOKUP(A937,POPN!$A$1:$B$39,2,FALSE)*(1+GROWTH!C937)</f>
        <v>20892.840911065989</v>
      </c>
    </row>
    <row r="938" spans="1:6" x14ac:dyDescent="0.25">
      <c r="A938" t="s">
        <v>19</v>
      </c>
      <c r="B938">
        <v>2022</v>
      </c>
      <c r="C938">
        <v>-6.4903187058531694E-2</v>
      </c>
      <c r="D938" s="29" t="str">
        <f t="shared" si="28"/>
        <v>F</v>
      </c>
      <c r="E938" s="29" t="str">
        <f t="shared" si="29"/>
        <v>85_89</v>
      </c>
      <c r="F938" s="29">
        <f>VLOOKUP(A938,POPN!$A$1:$B$39,2,FALSE)*(1+GROWTH!C938)</f>
        <v>7165.6468775704716</v>
      </c>
    </row>
    <row r="939" spans="1:6" x14ac:dyDescent="0.25">
      <c r="A939" t="s">
        <v>19</v>
      </c>
      <c r="B939">
        <v>2023</v>
      </c>
      <c r="C939">
        <v>-3.8477105665156601E-2</v>
      </c>
      <c r="D939" s="29" t="str">
        <f t="shared" si="28"/>
        <v>F</v>
      </c>
      <c r="E939" s="29" t="str">
        <f t="shared" si="29"/>
        <v>85_89</v>
      </c>
      <c r="F939" s="29">
        <f>VLOOKUP(A939,POPN!$A$1:$B$39,2,FALSE)*(1+GROWTH!C939)</f>
        <v>7368.149939287905</v>
      </c>
    </row>
    <row r="940" spans="1:6" x14ac:dyDescent="0.25">
      <c r="A940" t="s">
        <v>19</v>
      </c>
      <c r="B940">
        <v>2024</v>
      </c>
      <c r="C940">
        <v>-2.5264064968468902E-2</v>
      </c>
      <c r="D940" s="29" t="str">
        <f t="shared" si="28"/>
        <v>F</v>
      </c>
      <c r="E940" s="29" t="str">
        <f t="shared" si="29"/>
        <v>85_89</v>
      </c>
      <c r="F940" s="29">
        <f>VLOOKUP(A940,POPN!$A$1:$B$39,2,FALSE)*(1+GROWTH!C940)</f>
        <v>7469.4014701466231</v>
      </c>
    </row>
    <row r="941" spans="1:6" x14ac:dyDescent="0.25">
      <c r="A941" t="s">
        <v>19</v>
      </c>
      <c r="B941">
        <v>2025</v>
      </c>
      <c r="C941">
        <v>0</v>
      </c>
      <c r="D941" s="29" t="str">
        <f t="shared" si="28"/>
        <v>F</v>
      </c>
      <c r="E941" s="29" t="str">
        <f t="shared" si="29"/>
        <v>85_89</v>
      </c>
      <c r="F941" s="29">
        <f>VLOOKUP(A941,POPN!$A$1:$B$39,2,FALSE)*(1+GROWTH!C941)</f>
        <v>7663</v>
      </c>
    </row>
    <row r="942" spans="1:6" x14ac:dyDescent="0.25">
      <c r="A942" t="s">
        <v>19</v>
      </c>
      <c r="B942">
        <v>2026</v>
      </c>
      <c r="C942">
        <v>1.54456789962266E-2</v>
      </c>
      <c r="D942" s="29" t="str">
        <f t="shared" si="28"/>
        <v>F</v>
      </c>
      <c r="E942" s="29" t="str">
        <f t="shared" si="29"/>
        <v>85_89</v>
      </c>
      <c r="F942" s="29">
        <f>VLOOKUP(A942,POPN!$A$1:$B$39,2,FALSE)*(1+GROWTH!C942)</f>
        <v>7781.3602381480841</v>
      </c>
    </row>
    <row r="943" spans="1:6" x14ac:dyDescent="0.25">
      <c r="A943" t="s">
        <v>19</v>
      </c>
      <c r="B943">
        <v>2027</v>
      </c>
      <c r="C943">
        <v>4.8843858939039801E-2</v>
      </c>
      <c r="D943" s="29" t="str">
        <f t="shared" si="28"/>
        <v>F</v>
      </c>
      <c r="E943" s="29" t="str">
        <f t="shared" si="29"/>
        <v>85_89</v>
      </c>
      <c r="F943" s="29">
        <f>VLOOKUP(A943,POPN!$A$1:$B$39,2,FALSE)*(1+GROWTH!C943)</f>
        <v>8037.2904910498628</v>
      </c>
    </row>
    <row r="944" spans="1:6" x14ac:dyDescent="0.25">
      <c r="A944" t="s">
        <v>19</v>
      </c>
      <c r="B944">
        <v>2028</v>
      </c>
      <c r="C944">
        <v>0.114269300570563</v>
      </c>
      <c r="D944" s="29" t="str">
        <f t="shared" si="28"/>
        <v>F</v>
      </c>
      <c r="E944" s="29" t="str">
        <f t="shared" si="29"/>
        <v>85_89</v>
      </c>
      <c r="F944" s="29">
        <f>VLOOKUP(A944,POPN!$A$1:$B$39,2,FALSE)*(1+GROWTH!C944)</f>
        <v>8538.6456502722249</v>
      </c>
    </row>
    <row r="945" spans="1:6" x14ac:dyDescent="0.25">
      <c r="A945" t="s">
        <v>19</v>
      </c>
      <c r="B945">
        <v>2029</v>
      </c>
      <c r="C945">
        <v>0.18149652047890699</v>
      </c>
      <c r="D945" s="29" t="str">
        <f t="shared" si="28"/>
        <v>F</v>
      </c>
      <c r="E945" s="29" t="str">
        <f t="shared" si="29"/>
        <v>85_89</v>
      </c>
      <c r="F945" s="29">
        <f>VLOOKUP(A945,POPN!$A$1:$B$39,2,FALSE)*(1+GROWTH!C945)</f>
        <v>9053.8078364298635</v>
      </c>
    </row>
    <row r="946" spans="1:6" x14ac:dyDescent="0.25">
      <c r="A946" t="s">
        <v>19</v>
      </c>
      <c r="B946">
        <v>2030</v>
      </c>
      <c r="C946">
        <v>0.25586557167291202</v>
      </c>
      <c r="D946" s="29" t="str">
        <f t="shared" si="28"/>
        <v>F</v>
      </c>
      <c r="E946" s="29" t="str">
        <f t="shared" si="29"/>
        <v>85_89</v>
      </c>
      <c r="F946" s="29">
        <f>VLOOKUP(A946,POPN!$A$1:$B$39,2,FALSE)*(1+GROWTH!C946)</f>
        <v>9623.6978757295255</v>
      </c>
    </row>
    <row r="947" spans="1:6" x14ac:dyDescent="0.25">
      <c r="A947" t="s">
        <v>19</v>
      </c>
      <c r="B947">
        <v>2031</v>
      </c>
      <c r="C947">
        <v>0.327780026373856</v>
      </c>
      <c r="D947" s="29" t="str">
        <f t="shared" si="28"/>
        <v>F</v>
      </c>
      <c r="E947" s="29" t="str">
        <f t="shared" si="29"/>
        <v>85_89</v>
      </c>
      <c r="F947" s="29">
        <f>VLOOKUP(A947,POPN!$A$1:$B$39,2,FALSE)*(1+GROWTH!C947)</f>
        <v>10174.778342102858</v>
      </c>
    </row>
    <row r="948" spans="1:6" x14ac:dyDescent="0.25">
      <c r="A948" t="s">
        <v>19</v>
      </c>
      <c r="B948">
        <v>2032</v>
      </c>
      <c r="C948">
        <v>0.46673891188259697</v>
      </c>
      <c r="D948" s="29" t="str">
        <f t="shared" si="28"/>
        <v>F</v>
      </c>
      <c r="E948" s="29" t="str">
        <f t="shared" si="29"/>
        <v>85_89</v>
      </c>
      <c r="F948" s="29">
        <f>VLOOKUP(A948,POPN!$A$1:$B$39,2,FALSE)*(1+GROWTH!C948)</f>
        <v>11239.620281756339</v>
      </c>
    </row>
    <row r="949" spans="1:6" x14ac:dyDescent="0.25">
      <c r="A949" t="s">
        <v>19</v>
      </c>
      <c r="B949">
        <v>2033</v>
      </c>
      <c r="C949">
        <v>0.55033881265422802</v>
      </c>
      <c r="D949" s="29" t="str">
        <f t="shared" si="28"/>
        <v>F</v>
      </c>
      <c r="E949" s="29" t="str">
        <f t="shared" si="29"/>
        <v>85_89</v>
      </c>
      <c r="F949" s="29">
        <f>VLOOKUP(A949,POPN!$A$1:$B$39,2,FALSE)*(1+GROWTH!C949)</f>
        <v>11880.246321369348</v>
      </c>
    </row>
    <row r="950" spans="1:6" x14ac:dyDescent="0.25">
      <c r="A950" t="s">
        <v>19</v>
      </c>
      <c r="B950">
        <v>2034</v>
      </c>
      <c r="C950">
        <v>0.60127168988523405</v>
      </c>
      <c r="D950" s="29" t="str">
        <f t="shared" si="28"/>
        <v>F</v>
      </c>
      <c r="E950" s="29" t="str">
        <f t="shared" si="29"/>
        <v>85_89</v>
      </c>
      <c r="F950" s="29">
        <f>VLOOKUP(A950,POPN!$A$1:$B$39,2,FALSE)*(1+GROWTH!C950)</f>
        <v>12270.544959590548</v>
      </c>
    </row>
    <row r="951" spans="1:6" x14ac:dyDescent="0.25">
      <c r="A951" t="s">
        <v>19</v>
      </c>
      <c r="B951">
        <v>2035</v>
      </c>
      <c r="C951">
        <v>0.62291914193573605</v>
      </c>
      <c r="D951" s="29" t="str">
        <f t="shared" si="28"/>
        <v>F</v>
      </c>
      <c r="E951" s="29" t="str">
        <f t="shared" si="29"/>
        <v>85_89</v>
      </c>
      <c r="F951" s="29">
        <f>VLOOKUP(A951,POPN!$A$1:$B$39,2,FALSE)*(1+GROWTH!C951)</f>
        <v>12436.429384653546</v>
      </c>
    </row>
    <row r="952" spans="1:6" x14ac:dyDescent="0.25">
      <c r="A952" t="s">
        <v>19</v>
      </c>
      <c r="B952">
        <v>2036</v>
      </c>
      <c r="C952">
        <v>0.635244349858338</v>
      </c>
      <c r="D952" s="29" t="str">
        <f t="shared" si="28"/>
        <v>F</v>
      </c>
      <c r="E952" s="29" t="str">
        <f t="shared" si="29"/>
        <v>85_89</v>
      </c>
      <c r="F952" s="29">
        <f>VLOOKUP(A952,POPN!$A$1:$B$39,2,FALSE)*(1+GROWTH!C952)</f>
        <v>12530.877452964443</v>
      </c>
    </row>
    <row r="953" spans="1:6" x14ac:dyDescent="0.25">
      <c r="A953" t="s">
        <v>19</v>
      </c>
      <c r="B953">
        <v>2037</v>
      </c>
      <c r="C953">
        <v>0.590395738402684</v>
      </c>
      <c r="D953" s="29" t="str">
        <f t="shared" si="28"/>
        <v>F</v>
      </c>
      <c r="E953" s="29" t="str">
        <f t="shared" si="29"/>
        <v>85_89</v>
      </c>
      <c r="F953" s="29">
        <f>VLOOKUP(A953,POPN!$A$1:$B$39,2,FALSE)*(1+GROWTH!C953)</f>
        <v>12187.202543379766</v>
      </c>
    </row>
    <row r="954" spans="1:6" x14ac:dyDescent="0.25">
      <c r="A954" t="s">
        <v>19</v>
      </c>
      <c r="B954">
        <v>2038</v>
      </c>
      <c r="C954">
        <v>0.56198508963194105</v>
      </c>
      <c r="D954" s="29" t="str">
        <f t="shared" si="28"/>
        <v>F</v>
      </c>
      <c r="E954" s="29" t="str">
        <f t="shared" si="29"/>
        <v>85_89</v>
      </c>
      <c r="F954" s="29">
        <f>VLOOKUP(A954,POPN!$A$1:$B$39,2,FALSE)*(1+GROWTH!C954)</f>
        <v>11969.491741849564</v>
      </c>
    </row>
    <row r="955" spans="1:6" x14ac:dyDescent="0.25">
      <c r="A955" t="s">
        <v>19</v>
      </c>
      <c r="B955">
        <v>2039</v>
      </c>
      <c r="C955">
        <v>0.56231149874006103</v>
      </c>
      <c r="D955" s="29" t="str">
        <f t="shared" si="28"/>
        <v>F</v>
      </c>
      <c r="E955" s="29" t="str">
        <f t="shared" si="29"/>
        <v>85_89</v>
      </c>
      <c r="F955" s="29">
        <f>VLOOKUP(A955,POPN!$A$1:$B$39,2,FALSE)*(1+GROWTH!C955)</f>
        <v>11971.993014845088</v>
      </c>
    </row>
    <row r="956" spans="1:6" x14ac:dyDescent="0.25">
      <c r="A956" t="s">
        <v>19</v>
      </c>
      <c r="B956">
        <v>2040</v>
      </c>
      <c r="C956">
        <v>0.55980467678970103</v>
      </c>
      <c r="D956" s="29" t="str">
        <f t="shared" si="28"/>
        <v>F</v>
      </c>
      <c r="E956" s="29" t="str">
        <f t="shared" si="29"/>
        <v>85_89</v>
      </c>
      <c r="F956" s="29">
        <f>VLOOKUP(A956,POPN!$A$1:$B$39,2,FALSE)*(1+GROWTH!C956)</f>
        <v>11952.783238239479</v>
      </c>
    </row>
    <row r="957" spans="1:6" x14ac:dyDescent="0.25">
      <c r="A957" t="s">
        <v>19</v>
      </c>
      <c r="B957">
        <v>2041</v>
      </c>
      <c r="C957">
        <v>0.560901411392983</v>
      </c>
      <c r="D957" s="29" t="str">
        <f t="shared" si="28"/>
        <v>F</v>
      </c>
      <c r="E957" s="29" t="str">
        <f t="shared" si="29"/>
        <v>85_89</v>
      </c>
      <c r="F957" s="29">
        <f>VLOOKUP(A957,POPN!$A$1:$B$39,2,FALSE)*(1+GROWTH!C957)</f>
        <v>11961.187515504429</v>
      </c>
    </row>
    <row r="958" spans="1:6" x14ac:dyDescent="0.25">
      <c r="A958" t="s">
        <v>19</v>
      </c>
      <c r="B958">
        <v>2042</v>
      </c>
      <c r="C958">
        <v>0.58825449465341895</v>
      </c>
      <c r="D958" s="29" t="str">
        <f t="shared" si="28"/>
        <v>F</v>
      </c>
      <c r="E958" s="29" t="str">
        <f t="shared" si="29"/>
        <v>85_89</v>
      </c>
      <c r="F958" s="29">
        <f>VLOOKUP(A958,POPN!$A$1:$B$39,2,FALSE)*(1+GROWTH!C958)</f>
        <v>12170.794192529149</v>
      </c>
    </row>
    <row r="959" spans="1:6" x14ac:dyDescent="0.25">
      <c r="A959" t="s">
        <v>19</v>
      </c>
      <c r="B959">
        <v>2043</v>
      </c>
      <c r="C959">
        <v>0.62908174589703703</v>
      </c>
      <c r="D959" s="29" t="str">
        <f t="shared" si="28"/>
        <v>F</v>
      </c>
      <c r="E959" s="29" t="str">
        <f t="shared" si="29"/>
        <v>85_89</v>
      </c>
      <c r="F959" s="29">
        <f>VLOOKUP(A959,POPN!$A$1:$B$39,2,FALSE)*(1+GROWTH!C959)</f>
        <v>12483.653418808995</v>
      </c>
    </row>
    <row r="960" spans="1:6" x14ac:dyDescent="0.25">
      <c r="A960" t="s">
        <v>19</v>
      </c>
      <c r="B960">
        <v>2044</v>
      </c>
      <c r="C960">
        <v>0.66804193704221104</v>
      </c>
      <c r="D960" s="29" t="str">
        <f t="shared" si="28"/>
        <v>F</v>
      </c>
      <c r="E960" s="29" t="str">
        <f t="shared" si="29"/>
        <v>85_89</v>
      </c>
      <c r="F960" s="29">
        <f>VLOOKUP(A960,POPN!$A$1:$B$39,2,FALSE)*(1+GROWTH!C960)</f>
        <v>12782.205363554463</v>
      </c>
    </row>
    <row r="961" spans="1:6" x14ac:dyDescent="0.25">
      <c r="A961" t="s">
        <v>19</v>
      </c>
      <c r="B961">
        <v>2045</v>
      </c>
      <c r="C961">
        <v>0.72478489639774901</v>
      </c>
      <c r="D961" s="29" t="str">
        <f t="shared" si="28"/>
        <v>F</v>
      </c>
      <c r="E961" s="29" t="str">
        <f t="shared" si="29"/>
        <v>85_89</v>
      </c>
      <c r="F961" s="29">
        <f>VLOOKUP(A961,POPN!$A$1:$B$39,2,FALSE)*(1+GROWTH!C961)</f>
        <v>13217.026661095952</v>
      </c>
    </row>
    <row r="962" spans="1:6" x14ac:dyDescent="0.25">
      <c r="A962" t="s">
        <v>19</v>
      </c>
      <c r="B962">
        <v>2046</v>
      </c>
      <c r="C962">
        <v>0.80210468592915596</v>
      </c>
      <c r="D962" s="29" t="str">
        <f t="shared" si="28"/>
        <v>F</v>
      </c>
      <c r="E962" s="29" t="str">
        <f t="shared" si="29"/>
        <v>85_89</v>
      </c>
      <c r="F962" s="29">
        <f>VLOOKUP(A962,POPN!$A$1:$B$39,2,FALSE)*(1+GROWTH!C962)</f>
        <v>13809.528208275124</v>
      </c>
    </row>
    <row r="963" spans="1:6" x14ac:dyDescent="0.25">
      <c r="A963" t="s">
        <v>19</v>
      </c>
      <c r="B963">
        <v>2047</v>
      </c>
      <c r="C963">
        <v>0.87114674047864604</v>
      </c>
      <c r="D963" s="29" t="str">
        <f t="shared" ref="D963:D989" si="30">LEFT(A963,1)</f>
        <v>F</v>
      </c>
      <c r="E963" s="29" t="str">
        <f t="shared" ref="E963:E989" si="31">MID(A963,3,LEN(A963)-2)</f>
        <v>85_89</v>
      </c>
      <c r="F963" s="29">
        <f>VLOOKUP(A963,POPN!$A$1:$B$39,2,FALSE)*(1+GROWTH!C963)</f>
        <v>14338.597472287864</v>
      </c>
    </row>
    <row r="964" spans="1:6" x14ac:dyDescent="0.25">
      <c r="A964" t="s">
        <v>20</v>
      </c>
      <c r="B964">
        <v>2022</v>
      </c>
      <c r="C964">
        <v>-1.2345679012345699E-2</v>
      </c>
      <c r="D964" s="29" t="str">
        <f t="shared" si="30"/>
        <v>F</v>
      </c>
      <c r="E964" s="29" t="str">
        <f t="shared" si="31"/>
        <v>90_PLUS</v>
      </c>
      <c r="F964" s="29">
        <f>VLOOKUP(A964,POPN!$A$1:$B$39,2,FALSE)*(1+GROWTH!C964)</f>
        <v>4935.3086419753081</v>
      </c>
    </row>
    <row r="965" spans="1:6" x14ac:dyDescent="0.25">
      <c r="A965" t="s">
        <v>20</v>
      </c>
      <c r="B965">
        <v>2023</v>
      </c>
      <c r="C965">
        <v>-2.0731423247146601E-2</v>
      </c>
      <c r="D965" s="29" t="str">
        <f t="shared" si="30"/>
        <v>F</v>
      </c>
      <c r="E965" s="29" t="str">
        <f t="shared" si="31"/>
        <v>90_PLUS</v>
      </c>
      <c r="F965" s="29">
        <f>VLOOKUP(A965,POPN!$A$1:$B$39,2,FALSE)*(1+GROWTH!C965)</f>
        <v>4893.4050780340085</v>
      </c>
    </row>
    <row r="966" spans="1:6" x14ac:dyDescent="0.25">
      <c r="A966" t="s">
        <v>20</v>
      </c>
      <c r="B966">
        <v>2024</v>
      </c>
      <c r="C966">
        <v>-1.06762947433807E-2</v>
      </c>
      <c r="D966" s="29" t="str">
        <f t="shared" si="30"/>
        <v>F</v>
      </c>
      <c r="E966" s="29" t="str">
        <f t="shared" si="31"/>
        <v>90_PLUS</v>
      </c>
      <c r="F966" s="29">
        <f>VLOOKUP(A966,POPN!$A$1:$B$39,2,FALSE)*(1+GROWTH!C966)</f>
        <v>4943.6505551673263</v>
      </c>
    </row>
    <row r="967" spans="1:6" x14ac:dyDescent="0.25">
      <c r="A967" t="s">
        <v>20</v>
      </c>
      <c r="B967">
        <v>2025</v>
      </c>
      <c r="C967">
        <v>0</v>
      </c>
      <c r="D967" s="29" t="str">
        <f t="shared" si="30"/>
        <v>F</v>
      </c>
      <c r="E967" s="29" t="str">
        <f t="shared" si="31"/>
        <v>90_PLUS</v>
      </c>
      <c r="F967" s="29">
        <f>VLOOKUP(A967,POPN!$A$1:$B$39,2,FALSE)*(1+GROWTH!C967)</f>
        <v>4997</v>
      </c>
    </row>
    <row r="968" spans="1:6" x14ac:dyDescent="0.25">
      <c r="A968" t="s">
        <v>20</v>
      </c>
      <c r="B968">
        <v>2026</v>
      </c>
      <c r="C968">
        <v>1.2636850687165E-2</v>
      </c>
      <c r="D968" s="29" t="str">
        <f t="shared" si="30"/>
        <v>F</v>
      </c>
      <c r="E968" s="29" t="str">
        <f t="shared" si="31"/>
        <v>90_PLUS</v>
      </c>
      <c r="F968" s="29">
        <f>VLOOKUP(A968,POPN!$A$1:$B$39,2,FALSE)*(1+GROWTH!C968)</f>
        <v>5060.1463428837633</v>
      </c>
    </row>
    <row r="969" spans="1:6" x14ac:dyDescent="0.25">
      <c r="A969" t="s">
        <v>20</v>
      </c>
      <c r="B969">
        <v>2027</v>
      </c>
      <c r="C969">
        <v>4.0162279680099298E-2</v>
      </c>
      <c r="D969" s="29" t="str">
        <f t="shared" si="30"/>
        <v>F</v>
      </c>
      <c r="E969" s="29" t="str">
        <f t="shared" si="31"/>
        <v>90_PLUS</v>
      </c>
      <c r="F969" s="29">
        <f>VLOOKUP(A969,POPN!$A$1:$B$39,2,FALSE)*(1+GROWTH!C969)</f>
        <v>5197.6909115614562</v>
      </c>
    </row>
    <row r="970" spans="1:6" x14ac:dyDescent="0.25">
      <c r="A970" t="s">
        <v>20</v>
      </c>
      <c r="B970">
        <v>2028</v>
      </c>
      <c r="C970">
        <v>7.58405155679788E-2</v>
      </c>
      <c r="D970" s="29" t="str">
        <f t="shared" si="30"/>
        <v>F</v>
      </c>
      <c r="E970" s="29" t="str">
        <f t="shared" si="31"/>
        <v>90_PLUS</v>
      </c>
      <c r="F970" s="29">
        <f>VLOOKUP(A970,POPN!$A$1:$B$39,2,FALSE)*(1+GROWTH!C970)</f>
        <v>5375.9750562931904</v>
      </c>
    </row>
    <row r="971" spans="1:6" x14ac:dyDescent="0.25">
      <c r="A971" t="s">
        <v>20</v>
      </c>
      <c r="B971">
        <v>2029</v>
      </c>
      <c r="C971">
        <v>0.103094184331081</v>
      </c>
      <c r="D971" s="29" t="str">
        <f t="shared" si="30"/>
        <v>F</v>
      </c>
      <c r="E971" s="29" t="str">
        <f t="shared" si="31"/>
        <v>90_PLUS</v>
      </c>
      <c r="F971" s="29">
        <f>VLOOKUP(A971,POPN!$A$1:$B$39,2,FALSE)*(1+GROWTH!C971)</f>
        <v>5512.1616391024118</v>
      </c>
    </row>
    <row r="972" spans="1:6" x14ac:dyDescent="0.25">
      <c r="A972" t="s">
        <v>20</v>
      </c>
      <c r="B972">
        <v>2030</v>
      </c>
      <c r="C972">
        <v>0.13642363537541699</v>
      </c>
      <c r="D972" s="29" t="str">
        <f t="shared" si="30"/>
        <v>F</v>
      </c>
      <c r="E972" s="29" t="str">
        <f t="shared" si="31"/>
        <v>90_PLUS</v>
      </c>
      <c r="F972" s="29">
        <f>VLOOKUP(A972,POPN!$A$1:$B$39,2,FALSE)*(1+GROWTH!C972)</f>
        <v>5678.7089059709579</v>
      </c>
    </row>
    <row r="973" spans="1:6" x14ac:dyDescent="0.25">
      <c r="A973" t="s">
        <v>20</v>
      </c>
      <c r="B973">
        <v>2031</v>
      </c>
      <c r="C973">
        <v>0.15925149468126401</v>
      </c>
      <c r="D973" s="29" t="str">
        <f t="shared" si="30"/>
        <v>F</v>
      </c>
      <c r="E973" s="29" t="str">
        <f t="shared" si="31"/>
        <v>90_PLUS</v>
      </c>
      <c r="F973" s="29">
        <f>VLOOKUP(A973,POPN!$A$1:$B$39,2,FALSE)*(1+GROWTH!C973)</f>
        <v>5792.7797189222765</v>
      </c>
    </row>
    <row r="974" spans="1:6" x14ac:dyDescent="0.25">
      <c r="A974" t="s">
        <v>20</v>
      </c>
      <c r="B974">
        <v>2032</v>
      </c>
      <c r="C974">
        <v>0.206188368662163</v>
      </c>
      <c r="D974" s="29" t="str">
        <f t="shared" si="30"/>
        <v>F</v>
      </c>
      <c r="E974" s="29" t="str">
        <f t="shared" si="31"/>
        <v>90_PLUS</v>
      </c>
      <c r="F974" s="29">
        <f>VLOOKUP(A974,POPN!$A$1:$B$39,2,FALSE)*(1+GROWTH!C974)</f>
        <v>6027.323278204829</v>
      </c>
    </row>
    <row r="975" spans="1:6" x14ac:dyDescent="0.25">
      <c r="A975" t="s">
        <v>20</v>
      </c>
      <c r="B975">
        <v>2033</v>
      </c>
      <c r="C975">
        <v>0.28381473716903499</v>
      </c>
      <c r="D975" s="29" t="str">
        <f t="shared" si="30"/>
        <v>F</v>
      </c>
      <c r="E975" s="29" t="str">
        <f t="shared" si="31"/>
        <v>90_PLUS</v>
      </c>
      <c r="F975" s="29">
        <f>VLOOKUP(A975,POPN!$A$1:$B$39,2,FALSE)*(1+GROWTH!C975)</f>
        <v>6415.2222416336672</v>
      </c>
    </row>
    <row r="976" spans="1:6" x14ac:dyDescent="0.25">
      <c r="A976" t="s">
        <v>20</v>
      </c>
      <c r="B976">
        <v>2034</v>
      </c>
      <c r="C976">
        <v>0.35880114915754302</v>
      </c>
      <c r="D976" s="29" t="str">
        <f t="shared" si="30"/>
        <v>F</v>
      </c>
      <c r="E976" s="29" t="str">
        <f t="shared" si="31"/>
        <v>90_PLUS</v>
      </c>
      <c r="F976" s="29">
        <f>VLOOKUP(A976,POPN!$A$1:$B$39,2,FALSE)*(1+GROWTH!C976)</f>
        <v>6789.9293423402423</v>
      </c>
    </row>
    <row r="977" spans="1:6" x14ac:dyDescent="0.25">
      <c r="A977" t="s">
        <v>20</v>
      </c>
      <c r="B977">
        <v>2035</v>
      </c>
      <c r="C977">
        <v>0.44114449879648998</v>
      </c>
      <c r="D977" s="29" t="str">
        <f t="shared" si="30"/>
        <v>F</v>
      </c>
      <c r="E977" s="29" t="str">
        <f t="shared" si="31"/>
        <v>90_PLUS</v>
      </c>
      <c r="F977" s="29">
        <f>VLOOKUP(A977,POPN!$A$1:$B$39,2,FALSE)*(1+GROWTH!C977)</f>
        <v>7201.3990604860601</v>
      </c>
    </row>
    <row r="978" spans="1:6" x14ac:dyDescent="0.25">
      <c r="A978" t="s">
        <v>20</v>
      </c>
      <c r="B978">
        <v>2036</v>
      </c>
      <c r="C978">
        <v>0.51384036027641899</v>
      </c>
      <c r="D978" s="29" t="str">
        <f t="shared" si="30"/>
        <v>F</v>
      </c>
      <c r="E978" s="29" t="str">
        <f t="shared" si="31"/>
        <v>90_PLUS</v>
      </c>
      <c r="F978" s="29">
        <f>VLOOKUP(A978,POPN!$A$1:$B$39,2,FALSE)*(1+GROWTH!C978)</f>
        <v>7564.6602803012656</v>
      </c>
    </row>
    <row r="979" spans="1:6" x14ac:dyDescent="0.25">
      <c r="A979" t="s">
        <v>20</v>
      </c>
      <c r="B979">
        <v>2037</v>
      </c>
      <c r="C979">
        <v>0.66837487382560701</v>
      </c>
      <c r="D979" s="29" t="str">
        <f t="shared" si="30"/>
        <v>F</v>
      </c>
      <c r="E979" s="29" t="str">
        <f t="shared" si="31"/>
        <v>90_PLUS</v>
      </c>
      <c r="F979" s="29">
        <f>VLOOKUP(A979,POPN!$A$1:$B$39,2,FALSE)*(1+GROWTH!C979)</f>
        <v>8336.869244506559</v>
      </c>
    </row>
    <row r="980" spans="1:6" x14ac:dyDescent="0.25">
      <c r="A980" t="s">
        <v>20</v>
      </c>
      <c r="B980">
        <v>2038</v>
      </c>
      <c r="C980">
        <v>0.784164143178818</v>
      </c>
      <c r="D980" s="29" t="str">
        <f t="shared" si="30"/>
        <v>F</v>
      </c>
      <c r="E980" s="29" t="str">
        <f t="shared" si="31"/>
        <v>90_PLUS</v>
      </c>
      <c r="F980" s="29">
        <f>VLOOKUP(A980,POPN!$A$1:$B$39,2,FALSE)*(1+GROWTH!C980)</f>
        <v>8915.4682234645534</v>
      </c>
    </row>
    <row r="981" spans="1:6" x14ac:dyDescent="0.25">
      <c r="A981" t="s">
        <v>20</v>
      </c>
      <c r="B981">
        <v>2039</v>
      </c>
      <c r="C981">
        <v>0.86066464787638797</v>
      </c>
      <c r="D981" s="29" t="str">
        <f t="shared" si="30"/>
        <v>F</v>
      </c>
      <c r="E981" s="29" t="str">
        <f t="shared" si="31"/>
        <v>90_PLUS</v>
      </c>
      <c r="F981" s="29">
        <f>VLOOKUP(A981,POPN!$A$1:$B$39,2,FALSE)*(1+GROWTH!C981)</f>
        <v>9297.7412454383102</v>
      </c>
    </row>
    <row r="982" spans="1:6" x14ac:dyDescent="0.25">
      <c r="A982" t="s">
        <v>20</v>
      </c>
      <c r="B982">
        <v>2040</v>
      </c>
      <c r="C982">
        <v>0.910377358490566</v>
      </c>
      <c r="D982" s="29" t="str">
        <f t="shared" si="30"/>
        <v>F</v>
      </c>
      <c r="E982" s="29" t="str">
        <f t="shared" si="31"/>
        <v>90_PLUS</v>
      </c>
      <c r="F982" s="29">
        <f>VLOOKUP(A982,POPN!$A$1:$B$39,2,FALSE)*(1+GROWTH!C982)</f>
        <v>9546.1556603773588</v>
      </c>
    </row>
    <row r="983" spans="1:6" x14ac:dyDescent="0.25">
      <c r="A983" t="s">
        <v>20</v>
      </c>
      <c r="B983">
        <v>2041</v>
      </c>
      <c r="C983">
        <v>0.94411444987964899</v>
      </c>
      <c r="D983" s="29" t="str">
        <f t="shared" si="30"/>
        <v>F</v>
      </c>
      <c r="E983" s="29" t="str">
        <f t="shared" si="31"/>
        <v>90_PLUS</v>
      </c>
      <c r="F983" s="29">
        <f>VLOOKUP(A983,POPN!$A$1:$B$39,2,FALSE)*(1+GROWTH!C983)</f>
        <v>9714.7399060486059</v>
      </c>
    </row>
    <row r="984" spans="1:6" x14ac:dyDescent="0.25">
      <c r="A984" t="s">
        <v>20</v>
      </c>
      <c r="B984">
        <v>2042</v>
      </c>
      <c r="C984">
        <v>0.97472629862566995</v>
      </c>
      <c r="D984" s="29" t="str">
        <f t="shared" si="30"/>
        <v>F</v>
      </c>
      <c r="E984" s="29" t="str">
        <f t="shared" si="31"/>
        <v>90_PLUS</v>
      </c>
      <c r="F984" s="29">
        <f>VLOOKUP(A984,POPN!$A$1:$B$39,2,FALSE)*(1+GROWTH!C984)</f>
        <v>9867.7073142324734</v>
      </c>
    </row>
    <row r="985" spans="1:6" x14ac:dyDescent="0.25">
      <c r="A985" t="s">
        <v>20</v>
      </c>
      <c r="B985">
        <v>2043</v>
      </c>
      <c r="C985">
        <v>1.0000776457799501</v>
      </c>
      <c r="D985" s="29" t="str">
        <f t="shared" si="30"/>
        <v>F</v>
      </c>
      <c r="E985" s="29" t="str">
        <f t="shared" si="31"/>
        <v>90_PLUS</v>
      </c>
      <c r="F985" s="29">
        <f>VLOOKUP(A985,POPN!$A$1:$B$39,2,FALSE)*(1+GROWTH!C985)</f>
        <v>9994.3879959624101</v>
      </c>
    </row>
    <row r="986" spans="1:6" x14ac:dyDescent="0.25">
      <c r="A986" t="s">
        <v>20</v>
      </c>
      <c r="B986">
        <v>2044</v>
      </c>
      <c r="C986">
        <v>1.0320677071201201</v>
      </c>
      <c r="D986" s="29" t="str">
        <f t="shared" si="30"/>
        <v>F</v>
      </c>
      <c r="E986" s="29" t="str">
        <f t="shared" si="31"/>
        <v>90_PLUS</v>
      </c>
      <c r="F986" s="29">
        <f>VLOOKUP(A986,POPN!$A$1:$B$39,2,FALSE)*(1+GROWTH!C986)</f>
        <v>10154.242332479242</v>
      </c>
    </row>
    <row r="987" spans="1:6" x14ac:dyDescent="0.25">
      <c r="A987" t="s">
        <v>20</v>
      </c>
      <c r="B987">
        <v>2045</v>
      </c>
      <c r="C987">
        <v>1.04893625281466</v>
      </c>
      <c r="D987" s="29" t="str">
        <f t="shared" si="30"/>
        <v>F</v>
      </c>
      <c r="E987" s="29" t="str">
        <f t="shared" si="31"/>
        <v>90_PLUS</v>
      </c>
      <c r="F987" s="29">
        <f>VLOOKUP(A987,POPN!$A$1:$B$39,2,FALSE)*(1+GROWTH!C987)</f>
        <v>10238.534455314857</v>
      </c>
    </row>
    <row r="988" spans="1:6" x14ac:dyDescent="0.25">
      <c r="A988" t="s">
        <v>20</v>
      </c>
      <c r="B988">
        <v>2046</v>
      </c>
      <c r="C988">
        <v>1.0661930274089599</v>
      </c>
      <c r="D988" s="29" t="str">
        <f t="shared" si="30"/>
        <v>F</v>
      </c>
      <c r="E988" s="29" t="str">
        <f t="shared" si="31"/>
        <v>90_PLUS</v>
      </c>
      <c r="F988" s="29">
        <f>VLOOKUP(A988,POPN!$A$1:$B$39,2,FALSE)*(1+GROWTH!C988)</f>
        <v>10324.766557962572</v>
      </c>
    </row>
    <row r="989" spans="1:6" x14ac:dyDescent="0.25">
      <c r="A989" t="s">
        <v>20</v>
      </c>
      <c r="B989">
        <v>2047</v>
      </c>
      <c r="C989">
        <v>1.1121593291404599</v>
      </c>
      <c r="D989" s="29" t="str">
        <f t="shared" si="30"/>
        <v>F</v>
      </c>
      <c r="E989" s="29" t="str">
        <f t="shared" si="31"/>
        <v>90_PLUS</v>
      </c>
      <c r="F989" s="29">
        <f>VLOOKUP(A989,POPN!$A$1:$B$39,2,FALSE)*(1+GROWTH!C989)</f>
        <v>10554.460167714878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4F2-04E2-4D92-9C23-8BDE54D834ED}">
  <dimension ref="A1:B795"/>
  <sheetViews>
    <sheetView workbookViewId="0"/>
  </sheetViews>
  <sheetFormatPr defaultRowHeight="15" x14ac:dyDescent="0.25"/>
  <cols>
    <col min="1" max="1" width="9.140625" style="29"/>
    <col min="2" max="2" width="48.140625" style="29" bestFit="1" customWidth="1"/>
    <col min="3" max="16384" width="9.140625" style="29"/>
  </cols>
  <sheetData>
    <row r="1" spans="1:2" x14ac:dyDescent="0.25">
      <c r="A1" s="29" t="s">
        <v>43</v>
      </c>
      <c r="B1" s="29" t="s">
        <v>79</v>
      </c>
    </row>
    <row r="2" spans="1:2" x14ac:dyDescent="0.25">
      <c r="A2" s="29" t="s">
        <v>42</v>
      </c>
      <c r="B2" s="29" t="s">
        <v>84</v>
      </c>
    </row>
    <row r="3" spans="1:2" x14ac:dyDescent="0.25">
      <c r="A3" s="29" t="s">
        <v>54</v>
      </c>
      <c r="B3" s="29" t="s">
        <v>80</v>
      </c>
    </row>
    <row r="4" spans="1:2" x14ac:dyDescent="0.25">
      <c r="A4" s="29" t="s">
        <v>55</v>
      </c>
      <c r="B4" s="29" t="s">
        <v>85</v>
      </c>
    </row>
    <row r="5" spans="1:2" x14ac:dyDescent="0.25">
      <c r="A5" s="29" t="s">
        <v>48</v>
      </c>
      <c r="B5" s="29" t="s">
        <v>86</v>
      </c>
    </row>
    <row r="6" spans="1:2" x14ac:dyDescent="0.25">
      <c r="A6" s="29" t="s">
        <v>56</v>
      </c>
      <c r="B6" s="29" t="s">
        <v>81</v>
      </c>
    </row>
    <row r="7" spans="1:2" x14ac:dyDescent="0.25">
      <c r="A7" s="29" t="s">
        <v>57</v>
      </c>
      <c r="B7" s="29" t="s">
        <v>82</v>
      </c>
    </row>
    <row r="8" spans="1:2" x14ac:dyDescent="0.25">
      <c r="A8" s="29" t="s">
        <v>58</v>
      </c>
      <c r="B8" s="29" t="s">
        <v>87</v>
      </c>
    </row>
    <row r="9" spans="1:2" x14ac:dyDescent="0.25">
      <c r="A9" s="29" t="s">
        <v>59</v>
      </c>
      <c r="B9" s="29" t="s">
        <v>88</v>
      </c>
    </row>
    <row r="10" spans="1:2" x14ac:dyDescent="0.25">
      <c r="A10" s="29" t="s">
        <v>60</v>
      </c>
      <c r="B10" s="29" t="s">
        <v>83</v>
      </c>
    </row>
    <row r="11" spans="1:2" x14ac:dyDescent="0.25">
      <c r="A11" s="29" t="s">
        <v>61</v>
      </c>
      <c r="B11" s="29" t="s">
        <v>89</v>
      </c>
    </row>
    <row r="12" spans="1:2" x14ac:dyDescent="0.25">
      <c r="A12" s="29" t="s">
        <v>49</v>
      </c>
      <c r="B12" s="29" t="s">
        <v>90</v>
      </c>
    </row>
    <row r="13" spans="1:2" x14ac:dyDescent="0.25">
      <c r="A13" s="29" t="s">
        <v>50</v>
      </c>
      <c r="B13" s="29" t="s">
        <v>91</v>
      </c>
    </row>
    <row r="14" spans="1:2" x14ac:dyDescent="0.25">
      <c r="A14" s="29" t="s">
        <v>62</v>
      </c>
      <c r="B14" s="29" t="s">
        <v>92</v>
      </c>
    </row>
    <row r="15" spans="1:2" x14ac:dyDescent="0.25">
      <c r="A15" s="29" t="s">
        <v>63</v>
      </c>
      <c r="B15" s="29" t="s">
        <v>93</v>
      </c>
    </row>
    <row r="16" spans="1:2" x14ac:dyDescent="0.25">
      <c r="A16" s="29" t="s">
        <v>64</v>
      </c>
      <c r="B16" s="29" t="s">
        <v>94</v>
      </c>
    </row>
    <row r="17" spans="1:2" x14ac:dyDescent="0.25">
      <c r="A17" s="29" t="s">
        <v>65</v>
      </c>
      <c r="B17" s="29" t="s">
        <v>95</v>
      </c>
    </row>
    <row r="18" spans="1:2" x14ac:dyDescent="0.25">
      <c r="A18" s="29" t="s">
        <v>66</v>
      </c>
      <c r="B18" s="29" t="s">
        <v>96</v>
      </c>
    </row>
    <row r="19" spans="1:2" x14ac:dyDescent="0.25">
      <c r="A19" s="29" t="s">
        <v>51</v>
      </c>
      <c r="B19" s="29" t="s">
        <v>97</v>
      </c>
    </row>
    <row r="20" spans="1:2" x14ac:dyDescent="0.25">
      <c r="A20" s="29" t="s">
        <v>67</v>
      </c>
      <c r="B20" s="29" t="s">
        <v>98</v>
      </c>
    </row>
    <row r="21" spans="1:2" x14ac:dyDescent="0.25">
      <c r="A21" s="29" t="s">
        <v>68</v>
      </c>
      <c r="B21" s="29" t="s">
        <v>99</v>
      </c>
    </row>
    <row r="22" spans="1:2" x14ac:dyDescent="0.25">
      <c r="A22" s="29" t="s">
        <v>52</v>
      </c>
      <c r="B22" s="29" t="s">
        <v>100</v>
      </c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EED5-73D5-45DC-BB35-1F55601EF880}">
  <dimension ref="A1:C79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43</v>
      </c>
      <c r="C1" s="1" t="s">
        <v>53</v>
      </c>
    </row>
    <row r="2" spans="1:3" x14ac:dyDescent="0.25">
      <c r="A2" s="1" t="s">
        <v>2</v>
      </c>
      <c r="B2" s="1" t="s">
        <v>42</v>
      </c>
      <c r="C2" s="1">
        <v>0</v>
      </c>
    </row>
    <row r="3" spans="1:3" x14ac:dyDescent="0.25">
      <c r="A3" s="1" t="s">
        <v>3</v>
      </c>
      <c r="B3" s="1" t="s">
        <v>42</v>
      </c>
      <c r="C3" s="1">
        <v>0</v>
      </c>
    </row>
    <row r="4" spans="1:3" x14ac:dyDescent="0.25">
      <c r="A4" s="1" t="s">
        <v>4</v>
      </c>
      <c r="B4" s="1" t="s">
        <v>42</v>
      </c>
      <c r="C4" s="1">
        <v>0</v>
      </c>
    </row>
    <row r="5" spans="1:3" x14ac:dyDescent="0.25">
      <c r="A5" s="1" t="s">
        <v>5</v>
      </c>
      <c r="B5" s="1" t="s">
        <v>42</v>
      </c>
      <c r="C5" s="1">
        <v>0</v>
      </c>
    </row>
    <row r="6" spans="1:3" x14ac:dyDescent="0.25">
      <c r="A6" s="1" t="s">
        <v>6</v>
      </c>
      <c r="B6" s="1" t="s">
        <v>42</v>
      </c>
      <c r="C6" s="1">
        <v>0</v>
      </c>
    </row>
    <row r="7" spans="1:3" x14ac:dyDescent="0.25">
      <c r="A7" s="1" t="s">
        <v>7</v>
      </c>
      <c r="B7" s="1" t="s">
        <v>42</v>
      </c>
      <c r="C7" s="1">
        <v>0</v>
      </c>
    </row>
    <row r="8" spans="1:3" x14ac:dyDescent="0.25">
      <c r="A8" s="1" t="s">
        <v>8</v>
      </c>
      <c r="B8" s="1" t="s">
        <v>42</v>
      </c>
      <c r="C8" s="1">
        <v>1.4094432699083899E-3</v>
      </c>
    </row>
    <row r="9" spans="1:3" x14ac:dyDescent="0.25">
      <c r="A9" s="1" t="s">
        <v>9</v>
      </c>
      <c r="B9" s="1" t="s">
        <v>42</v>
      </c>
      <c r="C9" s="1">
        <v>6.4808813998703803E-4</v>
      </c>
    </row>
    <row r="10" spans="1:3" x14ac:dyDescent="0.25">
      <c r="A10" s="1" t="s">
        <v>10</v>
      </c>
      <c r="B10" s="1" t="s">
        <v>42</v>
      </c>
      <c r="C10" s="1">
        <v>2.1008403361344498E-3</v>
      </c>
    </row>
    <row r="11" spans="1:3" x14ac:dyDescent="0.25">
      <c r="A11" s="1" t="s">
        <v>11</v>
      </c>
      <c r="B11" s="1" t="s">
        <v>42</v>
      </c>
      <c r="C11" s="1">
        <v>2.0229265003371502E-3</v>
      </c>
    </row>
    <row r="12" spans="1:3" x14ac:dyDescent="0.25">
      <c r="A12" s="1" t="s">
        <v>12</v>
      </c>
      <c r="B12" s="1" t="s">
        <v>42</v>
      </c>
      <c r="C12" s="1">
        <v>7.3074761101742597E-3</v>
      </c>
    </row>
    <row r="13" spans="1:3" x14ac:dyDescent="0.25">
      <c r="A13" s="1" t="s">
        <v>13</v>
      </c>
      <c r="B13" s="1" t="s">
        <v>42</v>
      </c>
      <c r="C13" s="1">
        <v>8.4626234132581107E-3</v>
      </c>
    </row>
    <row r="14" spans="1:3" x14ac:dyDescent="0.25">
      <c r="A14" s="1" t="s">
        <v>14</v>
      </c>
      <c r="B14" s="1" t="s">
        <v>42</v>
      </c>
      <c r="C14" s="1">
        <v>1.0425716768027799E-2</v>
      </c>
    </row>
    <row r="15" spans="1:3" x14ac:dyDescent="0.25">
      <c r="A15" s="1" t="s">
        <v>15</v>
      </c>
      <c r="B15" s="1" t="s">
        <v>42</v>
      </c>
      <c r="C15" s="1">
        <v>2.6777469990766401E-2</v>
      </c>
    </row>
    <row r="16" spans="1:3" x14ac:dyDescent="0.25">
      <c r="A16" s="1" t="s">
        <v>16</v>
      </c>
      <c r="B16" s="1" t="s">
        <v>42</v>
      </c>
      <c r="C16" s="1">
        <v>4.4728434504792303E-2</v>
      </c>
    </row>
    <row r="17" spans="1:3" x14ac:dyDescent="0.25">
      <c r="A17" s="1" t="s">
        <v>17</v>
      </c>
      <c r="B17" s="1" t="s">
        <v>42</v>
      </c>
      <c r="C17" s="1">
        <v>8.0203045685279195E-2</v>
      </c>
    </row>
    <row r="18" spans="1:3" x14ac:dyDescent="0.25">
      <c r="A18" s="1" t="s">
        <v>18</v>
      </c>
      <c r="B18" s="1" t="s">
        <v>42</v>
      </c>
      <c r="C18" s="1">
        <v>0.139911634756996</v>
      </c>
    </row>
    <row r="19" spans="1:3" x14ac:dyDescent="0.25">
      <c r="A19" s="1" t="s">
        <v>19</v>
      </c>
      <c r="B19" s="1" t="s">
        <v>42</v>
      </c>
      <c r="C19" s="1">
        <v>0.16052631578947399</v>
      </c>
    </row>
    <row r="20" spans="1:3" x14ac:dyDescent="0.25">
      <c r="A20" s="1" t="s">
        <v>20</v>
      </c>
      <c r="B20" s="1" t="s">
        <v>42</v>
      </c>
      <c r="C20" s="1">
        <v>0.16876122082585299</v>
      </c>
    </row>
    <row r="21" spans="1:3" x14ac:dyDescent="0.25">
      <c r="A21" s="1" t="s">
        <v>21</v>
      </c>
      <c r="B21" s="1" t="s">
        <v>42</v>
      </c>
      <c r="C21" s="1">
        <v>0</v>
      </c>
    </row>
    <row r="22" spans="1:3" x14ac:dyDescent="0.25">
      <c r="A22" s="1" t="s">
        <v>22</v>
      </c>
      <c r="B22" s="1" t="s">
        <v>42</v>
      </c>
      <c r="C22" s="1">
        <v>0</v>
      </c>
    </row>
    <row r="23" spans="1:3" x14ac:dyDescent="0.25">
      <c r="A23" s="1" t="s">
        <v>23</v>
      </c>
      <c r="B23" s="1" t="s">
        <v>42</v>
      </c>
      <c r="C23" s="1">
        <v>0</v>
      </c>
    </row>
    <row r="24" spans="1:3" x14ac:dyDescent="0.25">
      <c r="A24" s="1" t="s">
        <v>24</v>
      </c>
      <c r="B24" s="1" t="s">
        <v>42</v>
      </c>
      <c r="C24" s="1">
        <v>0</v>
      </c>
    </row>
    <row r="25" spans="1:3" x14ac:dyDescent="0.25">
      <c r="A25" s="1" t="s">
        <v>25</v>
      </c>
      <c r="B25" s="1" t="s">
        <v>42</v>
      </c>
      <c r="C25" s="1">
        <v>0</v>
      </c>
    </row>
    <row r="26" spans="1:3" x14ac:dyDescent="0.25">
      <c r="A26" s="1" t="s">
        <v>26</v>
      </c>
      <c r="B26" s="1" t="s">
        <v>42</v>
      </c>
      <c r="C26" s="1">
        <v>0</v>
      </c>
    </row>
    <row r="27" spans="1:3" x14ac:dyDescent="0.25">
      <c r="A27" s="1" t="s">
        <v>27</v>
      </c>
      <c r="B27" s="1" t="s">
        <v>42</v>
      </c>
      <c r="C27" s="1">
        <v>2.0026702269692899E-3</v>
      </c>
    </row>
    <row r="28" spans="1:3" x14ac:dyDescent="0.25">
      <c r="A28" s="1" t="s">
        <v>28</v>
      </c>
      <c r="B28" s="1" t="s">
        <v>42</v>
      </c>
      <c r="C28" s="1">
        <v>2.6246719160105E-3</v>
      </c>
    </row>
    <row r="29" spans="1:3" x14ac:dyDescent="0.25">
      <c r="A29" s="1" t="s">
        <v>29</v>
      </c>
      <c r="B29" s="1" t="s">
        <v>42</v>
      </c>
      <c r="C29" s="1">
        <v>4.2857142857142903E-3</v>
      </c>
    </row>
    <row r="30" spans="1:3" x14ac:dyDescent="0.25">
      <c r="A30" s="1" t="s">
        <v>30</v>
      </c>
      <c r="B30" s="1" t="s">
        <v>42</v>
      </c>
      <c r="C30" s="1">
        <v>7.7030812324930002E-3</v>
      </c>
    </row>
    <row r="31" spans="1:3" x14ac:dyDescent="0.25">
      <c r="A31" s="1" t="s">
        <v>31</v>
      </c>
      <c r="B31" s="1" t="s">
        <v>42</v>
      </c>
      <c r="C31" s="1">
        <v>8.8495575221238902E-3</v>
      </c>
    </row>
    <row r="32" spans="1:3" x14ac:dyDescent="0.25">
      <c r="A32" s="1" t="s">
        <v>32</v>
      </c>
      <c r="B32" s="1" t="s">
        <v>42</v>
      </c>
      <c r="C32" s="1">
        <v>1.9723865877712E-2</v>
      </c>
    </row>
    <row r="33" spans="1:3" x14ac:dyDescent="0.25">
      <c r="A33" s="1" t="s">
        <v>33</v>
      </c>
      <c r="B33" s="1" t="s">
        <v>42</v>
      </c>
      <c r="C33" s="1">
        <v>3.40699815837937E-2</v>
      </c>
    </row>
    <row r="34" spans="1:3" x14ac:dyDescent="0.25">
      <c r="A34" s="1" t="s">
        <v>34</v>
      </c>
      <c r="B34" s="1" t="s">
        <v>42</v>
      </c>
      <c r="C34" s="1">
        <v>5.7550418101328098E-2</v>
      </c>
    </row>
    <row r="35" spans="1:3" x14ac:dyDescent="0.25">
      <c r="A35" s="1" t="s">
        <v>35</v>
      </c>
      <c r="B35" s="1" t="s">
        <v>42</v>
      </c>
      <c r="C35" s="1">
        <v>9.2902481246393498E-2</v>
      </c>
    </row>
    <row r="36" spans="1:3" x14ac:dyDescent="0.25">
      <c r="A36" s="1" t="s">
        <v>36</v>
      </c>
      <c r="B36" s="1" t="s">
        <v>42</v>
      </c>
      <c r="C36" s="1">
        <v>0.13390313390313399</v>
      </c>
    </row>
    <row r="37" spans="1:3" x14ac:dyDescent="0.25">
      <c r="A37" s="1" t="s">
        <v>37</v>
      </c>
      <c r="B37" s="1" t="s">
        <v>42</v>
      </c>
      <c r="C37" s="1">
        <v>0.188495575221239</v>
      </c>
    </row>
    <row r="38" spans="1:3" x14ac:dyDescent="0.25">
      <c r="A38" s="1" t="s">
        <v>38</v>
      </c>
      <c r="B38" s="1" t="s">
        <v>42</v>
      </c>
      <c r="C38" s="1">
        <v>0.28973509933774799</v>
      </c>
    </row>
    <row r="39" spans="1:3" x14ac:dyDescent="0.25">
      <c r="A39" s="1" t="s">
        <v>39</v>
      </c>
      <c r="B39" s="1" t="s">
        <v>42</v>
      </c>
      <c r="C39" s="1">
        <v>0.29449838187702299</v>
      </c>
    </row>
    <row r="40" spans="1:3" x14ac:dyDescent="0.25">
      <c r="A40" s="1" t="s">
        <v>2</v>
      </c>
      <c r="B40" s="1" t="s">
        <v>54</v>
      </c>
      <c r="C40" s="1">
        <v>0</v>
      </c>
    </row>
    <row r="41" spans="1:3" x14ac:dyDescent="0.25">
      <c r="A41" s="1" t="s">
        <v>3</v>
      </c>
      <c r="B41" s="1" t="s">
        <v>54</v>
      </c>
      <c r="C41" s="1">
        <v>4.42324371205551E-2</v>
      </c>
    </row>
    <row r="42" spans="1:3" x14ac:dyDescent="0.25">
      <c r="A42" s="1" t="s">
        <v>4</v>
      </c>
      <c r="B42" s="1" t="s">
        <v>54</v>
      </c>
      <c r="C42" s="1">
        <v>5.5162659123055201E-2</v>
      </c>
    </row>
    <row r="43" spans="1:3" x14ac:dyDescent="0.25">
      <c r="A43" s="1" t="s">
        <v>5</v>
      </c>
      <c r="B43" s="1" t="s">
        <v>54</v>
      </c>
      <c r="C43" s="1">
        <v>4.87627365356623E-2</v>
      </c>
    </row>
    <row r="44" spans="1:3" x14ac:dyDescent="0.25">
      <c r="A44" s="1" t="s">
        <v>6</v>
      </c>
      <c r="B44" s="1" t="s">
        <v>54</v>
      </c>
      <c r="C44" s="1">
        <v>5.8453237410071898E-2</v>
      </c>
    </row>
    <row r="45" spans="1:3" x14ac:dyDescent="0.25">
      <c r="A45" s="1" t="s">
        <v>7</v>
      </c>
      <c r="B45" s="1" t="s">
        <v>54</v>
      </c>
      <c r="C45" s="1">
        <v>7.8861788617886203E-2</v>
      </c>
    </row>
    <row r="46" spans="1:3" x14ac:dyDescent="0.25">
      <c r="A46" s="1" t="s">
        <v>8</v>
      </c>
      <c r="B46" s="1" t="s">
        <v>54</v>
      </c>
      <c r="C46" s="1">
        <v>8.1042988019732198E-2</v>
      </c>
    </row>
    <row r="47" spans="1:3" x14ac:dyDescent="0.25">
      <c r="A47" s="1" t="s">
        <v>9</v>
      </c>
      <c r="B47" s="1" t="s">
        <v>54</v>
      </c>
      <c r="C47" s="1">
        <v>9.4620868438107603E-2</v>
      </c>
    </row>
    <row r="48" spans="1:3" x14ac:dyDescent="0.25">
      <c r="A48" s="1" t="s">
        <v>10</v>
      </c>
      <c r="B48" s="1" t="s">
        <v>54</v>
      </c>
      <c r="C48" s="1">
        <v>0.108543417366947</v>
      </c>
    </row>
    <row r="49" spans="1:3" x14ac:dyDescent="0.25">
      <c r="A49" s="1" t="s">
        <v>11</v>
      </c>
      <c r="B49" s="1" t="s">
        <v>54</v>
      </c>
      <c r="C49" s="1">
        <v>0.109912339851652</v>
      </c>
    </row>
    <row r="50" spans="1:3" x14ac:dyDescent="0.25">
      <c r="A50" s="1" t="s">
        <v>12</v>
      </c>
      <c r="B50" s="1" t="s">
        <v>54</v>
      </c>
      <c r="C50" s="1">
        <v>0.12703766160764501</v>
      </c>
    </row>
    <row r="51" spans="1:3" x14ac:dyDescent="0.25">
      <c r="A51" s="1" t="s">
        <v>13</v>
      </c>
      <c r="B51" s="1" t="s">
        <v>54</v>
      </c>
      <c r="C51" s="1">
        <v>0.11236483309825999</v>
      </c>
    </row>
    <row r="52" spans="1:3" x14ac:dyDescent="0.25">
      <c r="A52" s="1" t="s">
        <v>14</v>
      </c>
      <c r="B52" s="1" t="s">
        <v>54</v>
      </c>
      <c r="C52" s="1">
        <v>0.10251954821893999</v>
      </c>
    </row>
    <row r="53" spans="1:3" x14ac:dyDescent="0.25">
      <c r="A53" s="1" t="s">
        <v>15</v>
      </c>
      <c r="B53" s="1" t="s">
        <v>54</v>
      </c>
      <c r="C53" s="1">
        <v>0.103416435826408</v>
      </c>
    </row>
    <row r="54" spans="1:3" x14ac:dyDescent="0.25">
      <c r="A54" s="1" t="s">
        <v>16</v>
      </c>
      <c r="B54" s="1" t="s">
        <v>54</v>
      </c>
      <c r="C54" s="1">
        <v>0.112353567625133</v>
      </c>
    </row>
    <row r="55" spans="1:3" x14ac:dyDescent="0.25">
      <c r="A55" s="1" t="s">
        <v>17</v>
      </c>
      <c r="B55" s="1" t="s">
        <v>54</v>
      </c>
      <c r="C55" s="1">
        <v>9.4923857868020295E-2</v>
      </c>
    </row>
    <row r="56" spans="1:3" x14ac:dyDescent="0.25">
      <c r="A56" s="1" t="s">
        <v>18</v>
      </c>
      <c r="B56" s="1" t="s">
        <v>54</v>
      </c>
      <c r="C56" s="1">
        <v>9.7938144329896906E-2</v>
      </c>
    </row>
    <row r="57" spans="1:3" x14ac:dyDescent="0.25">
      <c r="A57" s="1" t="s">
        <v>19</v>
      </c>
      <c r="B57" s="1" t="s">
        <v>54</v>
      </c>
      <c r="C57" s="1">
        <v>7.4999999999999997E-2</v>
      </c>
    </row>
    <row r="58" spans="1:3" x14ac:dyDescent="0.25">
      <c r="A58" s="1" t="s">
        <v>20</v>
      </c>
      <c r="B58" s="1" t="s">
        <v>54</v>
      </c>
      <c r="C58" s="1">
        <v>8.4380610412926396E-2</v>
      </c>
    </row>
    <row r="59" spans="1:3" x14ac:dyDescent="0.25">
      <c r="A59" s="1" t="s">
        <v>21</v>
      </c>
      <c r="B59" s="1" t="s">
        <v>54</v>
      </c>
      <c r="C59" s="1">
        <v>0</v>
      </c>
    </row>
    <row r="60" spans="1:3" x14ac:dyDescent="0.25">
      <c r="A60" s="1" t="s">
        <v>22</v>
      </c>
      <c r="B60" s="1" t="s">
        <v>54</v>
      </c>
      <c r="C60" s="1">
        <v>5.35571542765787E-2</v>
      </c>
    </row>
    <row r="61" spans="1:3" x14ac:dyDescent="0.25">
      <c r="A61" s="1" t="s">
        <v>23</v>
      </c>
      <c r="B61" s="1" t="s">
        <v>54</v>
      </c>
      <c r="C61" s="1">
        <v>5.9349074664964897E-2</v>
      </c>
    </row>
    <row r="62" spans="1:3" x14ac:dyDescent="0.25">
      <c r="A62" s="1" t="s">
        <v>24</v>
      </c>
      <c r="B62" s="1" t="s">
        <v>54</v>
      </c>
      <c r="C62" s="1">
        <v>0.05</v>
      </c>
    </row>
    <row r="63" spans="1:3" x14ac:dyDescent="0.25">
      <c r="A63" s="1" t="s">
        <v>25</v>
      </c>
      <c r="B63" s="1" t="s">
        <v>54</v>
      </c>
      <c r="C63" s="1">
        <v>3.8875103391232402E-2</v>
      </c>
    </row>
    <row r="64" spans="1:3" x14ac:dyDescent="0.25">
      <c r="A64" s="1" t="s">
        <v>26</v>
      </c>
      <c r="B64" s="1" t="s">
        <v>54</v>
      </c>
      <c r="C64" s="1">
        <v>5.3715967623252397E-2</v>
      </c>
    </row>
    <row r="65" spans="1:3" x14ac:dyDescent="0.25">
      <c r="A65" s="1" t="s">
        <v>27</v>
      </c>
      <c r="B65" s="1" t="s">
        <v>54</v>
      </c>
      <c r="C65" s="1">
        <v>5.6742323097463299E-2</v>
      </c>
    </row>
    <row r="66" spans="1:3" x14ac:dyDescent="0.25">
      <c r="A66" s="1" t="s">
        <v>28</v>
      </c>
      <c r="B66" s="1" t="s">
        <v>54</v>
      </c>
      <c r="C66" s="1">
        <v>6.2992125984251995E-2</v>
      </c>
    </row>
    <row r="67" spans="1:3" x14ac:dyDescent="0.25">
      <c r="A67" s="1" t="s">
        <v>29</v>
      </c>
      <c r="B67" s="1" t="s">
        <v>54</v>
      </c>
      <c r="C67" s="1">
        <v>6.2857142857142903E-2</v>
      </c>
    </row>
    <row r="68" spans="1:3" x14ac:dyDescent="0.25">
      <c r="A68" s="1" t="s">
        <v>30</v>
      </c>
      <c r="B68" s="1" t="s">
        <v>54</v>
      </c>
      <c r="C68" s="1">
        <v>8.3333333333333301E-2</v>
      </c>
    </row>
    <row r="69" spans="1:3" x14ac:dyDescent="0.25">
      <c r="A69" s="1" t="s">
        <v>31</v>
      </c>
      <c r="B69" s="1" t="s">
        <v>54</v>
      </c>
      <c r="C69" s="1">
        <v>7.3957016434892497E-2</v>
      </c>
    </row>
    <row r="70" spans="1:3" x14ac:dyDescent="0.25">
      <c r="A70" s="1" t="s">
        <v>32</v>
      </c>
      <c r="B70" s="1" t="s">
        <v>54</v>
      </c>
      <c r="C70" s="1">
        <v>8.0867850098619298E-2</v>
      </c>
    </row>
    <row r="71" spans="1:3" x14ac:dyDescent="0.25">
      <c r="A71" s="1" t="s">
        <v>33</v>
      </c>
      <c r="B71" s="1" t="s">
        <v>54</v>
      </c>
      <c r="C71" s="1">
        <v>9.3922651933701695E-2</v>
      </c>
    </row>
    <row r="72" spans="1:3" x14ac:dyDescent="0.25">
      <c r="A72" s="1" t="s">
        <v>34</v>
      </c>
      <c r="B72" s="1" t="s">
        <v>54</v>
      </c>
      <c r="C72" s="1">
        <v>7.3782587309395006E-2</v>
      </c>
    </row>
    <row r="73" spans="1:3" x14ac:dyDescent="0.25">
      <c r="A73" s="1" t="s">
        <v>35</v>
      </c>
      <c r="B73" s="1" t="s">
        <v>54</v>
      </c>
      <c r="C73" s="1">
        <v>7.0975187536064605E-2</v>
      </c>
    </row>
    <row r="74" spans="1:3" x14ac:dyDescent="0.25">
      <c r="A74" s="1" t="s">
        <v>36</v>
      </c>
      <c r="B74" s="1" t="s">
        <v>54</v>
      </c>
      <c r="C74" s="1">
        <v>7.2364672364672394E-2</v>
      </c>
    </row>
    <row r="75" spans="1:3" x14ac:dyDescent="0.25">
      <c r="A75" s="1" t="s">
        <v>37</v>
      </c>
      <c r="B75" s="1" t="s">
        <v>54</v>
      </c>
      <c r="C75" s="1">
        <v>6.9911504424778795E-2</v>
      </c>
    </row>
    <row r="76" spans="1:3" x14ac:dyDescent="0.25">
      <c r="A76" s="1" t="s">
        <v>38</v>
      </c>
      <c r="B76" s="1" t="s">
        <v>54</v>
      </c>
      <c r="C76" s="1">
        <v>5.9602649006622502E-2</v>
      </c>
    </row>
    <row r="77" spans="1:3" x14ac:dyDescent="0.25">
      <c r="A77" s="1" t="s">
        <v>39</v>
      </c>
      <c r="B77" s="1" t="s">
        <v>54</v>
      </c>
      <c r="C77" s="1">
        <v>6.4724919093851099E-2</v>
      </c>
    </row>
    <row r="78" spans="1:3" x14ac:dyDescent="0.25">
      <c r="A78" s="1" t="s">
        <v>2</v>
      </c>
      <c r="B78" s="1" t="s">
        <v>55</v>
      </c>
      <c r="C78" s="1">
        <v>0</v>
      </c>
    </row>
    <row r="79" spans="1:3" x14ac:dyDescent="0.25">
      <c r="A79" s="1" t="s">
        <v>3</v>
      </c>
      <c r="B79" s="1" t="s">
        <v>55</v>
      </c>
      <c r="C79" s="1">
        <v>8.6730268863833497E-4</v>
      </c>
    </row>
    <row r="80" spans="1:3" x14ac:dyDescent="0.25">
      <c r="A80" s="1" t="s">
        <v>4</v>
      </c>
      <c r="B80" s="1" t="s">
        <v>55</v>
      </c>
      <c r="C80" s="1">
        <v>0</v>
      </c>
    </row>
    <row r="81" spans="1:3" x14ac:dyDescent="0.25">
      <c r="A81" s="1" t="s">
        <v>5</v>
      </c>
      <c r="B81" s="1" t="s">
        <v>55</v>
      </c>
      <c r="C81" s="1">
        <v>2.18340611353712E-3</v>
      </c>
    </row>
    <row r="82" spans="1:3" x14ac:dyDescent="0.25">
      <c r="A82" s="1" t="s">
        <v>6</v>
      </c>
      <c r="B82" s="1" t="s">
        <v>55</v>
      </c>
      <c r="C82" s="1">
        <v>0</v>
      </c>
    </row>
    <row r="83" spans="1:3" x14ac:dyDescent="0.25">
      <c r="A83" s="1" t="s">
        <v>7</v>
      </c>
      <c r="B83" s="1" t="s">
        <v>55</v>
      </c>
      <c r="C83" s="1">
        <v>1.6260162601626001E-3</v>
      </c>
    </row>
    <row r="84" spans="1:3" x14ac:dyDescent="0.25">
      <c r="A84" s="1" t="s">
        <v>8</v>
      </c>
      <c r="B84" s="1" t="s">
        <v>55</v>
      </c>
      <c r="C84" s="1">
        <v>3.52360817477097E-3</v>
      </c>
    </row>
    <row r="85" spans="1:3" x14ac:dyDescent="0.25">
      <c r="A85" s="1" t="s">
        <v>9</v>
      </c>
      <c r="B85" s="1" t="s">
        <v>55</v>
      </c>
      <c r="C85" s="1">
        <v>9.0732339598185406E-3</v>
      </c>
    </row>
    <row r="86" spans="1:3" x14ac:dyDescent="0.25">
      <c r="A86" s="1" t="s">
        <v>10</v>
      </c>
      <c r="B86" s="1" t="s">
        <v>55</v>
      </c>
      <c r="C86" s="1">
        <v>1.9607843137254902E-2</v>
      </c>
    </row>
    <row r="87" spans="1:3" x14ac:dyDescent="0.25">
      <c r="A87" s="1" t="s">
        <v>11</v>
      </c>
      <c r="B87" s="1" t="s">
        <v>55</v>
      </c>
      <c r="C87" s="1">
        <v>3.23668240053945E-2</v>
      </c>
    </row>
    <row r="88" spans="1:3" x14ac:dyDescent="0.25">
      <c r="A88" s="1" t="s">
        <v>12</v>
      </c>
      <c r="B88" s="1" t="s">
        <v>55</v>
      </c>
      <c r="C88" s="1">
        <v>3.9910061832490198E-2</v>
      </c>
    </row>
    <row r="89" spans="1:3" x14ac:dyDescent="0.25">
      <c r="A89" s="1" t="s">
        <v>13</v>
      </c>
      <c r="B89" s="1" t="s">
        <v>55</v>
      </c>
      <c r="C89" s="1">
        <v>4.6074283027738597E-2</v>
      </c>
    </row>
    <row r="90" spans="1:3" x14ac:dyDescent="0.25">
      <c r="A90" s="1" t="s">
        <v>14</v>
      </c>
      <c r="B90" s="1" t="s">
        <v>55</v>
      </c>
      <c r="C90" s="1">
        <v>6.1685490877497799E-2</v>
      </c>
    </row>
    <row r="91" spans="1:3" x14ac:dyDescent="0.25">
      <c r="A91" s="1" t="s">
        <v>15</v>
      </c>
      <c r="B91" s="1" t="s">
        <v>55</v>
      </c>
      <c r="C91" s="1">
        <v>8.9566020313942799E-2</v>
      </c>
    </row>
    <row r="92" spans="1:3" x14ac:dyDescent="0.25">
      <c r="A92" s="1" t="s">
        <v>16</v>
      </c>
      <c r="B92" s="1" t="s">
        <v>55</v>
      </c>
      <c r="C92" s="1">
        <v>0.10170394036208701</v>
      </c>
    </row>
    <row r="93" spans="1:3" x14ac:dyDescent="0.25">
      <c r="A93" s="1" t="s">
        <v>17</v>
      </c>
      <c r="B93" s="1" t="s">
        <v>55</v>
      </c>
      <c r="C93" s="1">
        <v>0.118274111675127</v>
      </c>
    </row>
    <row r="94" spans="1:3" x14ac:dyDescent="0.25">
      <c r="A94" s="1" t="s">
        <v>18</v>
      </c>
      <c r="B94" s="1" t="s">
        <v>55</v>
      </c>
      <c r="C94" s="1">
        <v>0.12960235640647999</v>
      </c>
    </row>
    <row r="95" spans="1:3" x14ac:dyDescent="0.25">
      <c r="A95" s="1" t="s">
        <v>19</v>
      </c>
      <c r="B95" s="1" t="s">
        <v>55</v>
      </c>
      <c r="C95" s="1">
        <v>0.14078947368421099</v>
      </c>
    </row>
    <row r="96" spans="1:3" x14ac:dyDescent="0.25">
      <c r="A96" s="1" t="s">
        <v>20</v>
      </c>
      <c r="B96" s="1" t="s">
        <v>55</v>
      </c>
      <c r="C96" s="1">
        <v>0.12567324955116699</v>
      </c>
    </row>
    <row r="97" spans="1:3" x14ac:dyDescent="0.25">
      <c r="A97" s="1" t="s">
        <v>21</v>
      </c>
      <c r="B97" s="1" t="s">
        <v>55</v>
      </c>
      <c r="C97" s="1">
        <v>0</v>
      </c>
    </row>
    <row r="98" spans="1:3" x14ac:dyDescent="0.25">
      <c r="A98" s="1" t="s">
        <v>22</v>
      </c>
      <c r="B98" s="1" t="s">
        <v>55</v>
      </c>
      <c r="C98" s="1">
        <v>0</v>
      </c>
    </row>
    <row r="99" spans="1:3" x14ac:dyDescent="0.25">
      <c r="A99" s="1" t="s">
        <v>23</v>
      </c>
      <c r="B99" s="1" t="s">
        <v>55</v>
      </c>
      <c r="C99" s="1">
        <v>1.27632418634333E-3</v>
      </c>
    </row>
    <row r="100" spans="1:3" x14ac:dyDescent="0.25">
      <c r="A100" s="1" t="s">
        <v>24</v>
      </c>
      <c r="B100" s="1" t="s">
        <v>55</v>
      </c>
      <c r="C100" s="1">
        <v>2.7027027027026998E-3</v>
      </c>
    </row>
    <row r="101" spans="1:3" x14ac:dyDescent="0.25">
      <c r="A101" s="1" t="s">
        <v>25</v>
      </c>
      <c r="B101" s="1" t="s">
        <v>55</v>
      </c>
      <c r="C101" s="1">
        <v>1.65425971877585E-3</v>
      </c>
    </row>
    <row r="102" spans="1:3" x14ac:dyDescent="0.25">
      <c r="A102" s="1" t="s">
        <v>26</v>
      </c>
      <c r="B102" s="1" t="s">
        <v>55</v>
      </c>
      <c r="C102" s="1">
        <v>1.47167034584253E-3</v>
      </c>
    </row>
    <row r="103" spans="1:3" x14ac:dyDescent="0.25">
      <c r="A103" s="1" t="s">
        <v>27</v>
      </c>
      <c r="B103" s="1" t="s">
        <v>55</v>
      </c>
      <c r="C103" s="1">
        <v>6.0080106809078798E-3</v>
      </c>
    </row>
    <row r="104" spans="1:3" x14ac:dyDescent="0.25">
      <c r="A104" s="1" t="s">
        <v>28</v>
      </c>
      <c r="B104" s="1" t="s">
        <v>55</v>
      </c>
      <c r="C104" s="1">
        <v>5.9055118110236202E-3</v>
      </c>
    </row>
    <row r="105" spans="1:3" x14ac:dyDescent="0.25">
      <c r="A105" s="1" t="s">
        <v>29</v>
      </c>
      <c r="B105" s="1" t="s">
        <v>55</v>
      </c>
      <c r="C105" s="1">
        <v>5.7142857142857099E-3</v>
      </c>
    </row>
    <row r="106" spans="1:3" x14ac:dyDescent="0.25">
      <c r="A106" s="1" t="s">
        <v>30</v>
      </c>
      <c r="B106" s="1" t="s">
        <v>55</v>
      </c>
      <c r="C106" s="1">
        <v>9.1036414565826302E-3</v>
      </c>
    </row>
    <row r="107" spans="1:3" x14ac:dyDescent="0.25">
      <c r="A107" s="1" t="s">
        <v>31</v>
      </c>
      <c r="B107" s="1" t="s">
        <v>55</v>
      </c>
      <c r="C107" s="1">
        <v>1.39064475347661E-2</v>
      </c>
    </row>
    <row r="108" spans="1:3" x14ac:dyDescent="0.25">
      <c r="A108" s="1" t="s">
        <v>32</v>
      </c>
      <c r="B108" s="1" t="s">
        <v>55</v>
      </c>
      <c r="C108" s="1">
        <v>4.0433925049309698E-2</v>
      </c>
    </row>
    <row r="109" spans="1:3" x14ac:dyDescent="0.25">
      <c r="A109" s="1" t="s">
        <v>33</v>
      </c>
      <c r="B109" s="1" t="s">
        <v>55</v>
      </c>
      <c r="C109" s="1">
        <v>5.0184162062615098E-2</v>
      </c>
    </row>
    <row r="110" spans="1:3" x14ac:dyDescent="0.25">
      <c r="A110" s="1" t="s">
        <v>34</v>
      </c>
      <c r="B110" s="1" t="s">
        <v>55</v>
      </c>
      <c r="C110" s="1">
        <v>8.0668962124938501E-2</v>
      </c>
    </row>
    <row r="111" spans="1:3" x14ac:dyDescent="0.25">
      <c r="A111" s="1" t="s">
        <v>35</v>
      </c>
      <c r="B111" s="1" t="s">
        <v>55</v>
      </c>
      <c r="C111" s="1">
        <v>0.12637045585689599</v>
      </c>
    </row>
    <row r="112" spans="1:3" x14ac:dyDescent="0.25">
      <c r="A112" s="1" t="s">
        <v>36</v>
      </c>
      <c r="B112" s="1" t="s">
        <v>55</v>
      </c>
      <c r="C112" s="1">
        <v>0.16410256410256399</v>
      </c>
    </row>
    <row r="113" spans="1:3" x14ac:dyDescent="0.25">
      <c r="A113" s="1" t="s">
        <v>37</v>
      </c>
      <c r="B113" s="1" t="s">
        <v>55</v>
      </c>
      <c r="C113" s="1">
        <v>0.2</v>
      </c>
    </row>
    <row r="114" spans="1:3" x14ac:dyDescent="0.25">
      <c r="A114" s="1" t="s">
        <v>38</v>
      </c>
      <c r="B114" s="1" t="s">
        <v>55</v>
      </c>
      <c r="C114" s="1">
        <v>0.21026490066225201</v>
      </c>
    </row>
    <row r="115" spans="1:3" x14ac:dyDescent="0.25">
      <c r="A115" s="1" t="s">
        <v>39</v>
      </c>
      <c r="B115" s="1" t="s">
        <v>55</v>
      </c>
      <c r="C115" s="1">
        <v>0.233009708737864</v>
      </c>
    </row>
    <row r="116" spans="1:3" x14ac:dyDescent="0.25">
      <c r="A116" s="1" t="s">
        <v>2</v>
      </c>
      <c r="B116" s="1" t="s">
        <v>48</v>
      </c>
      <c r="C116" s="1">
        <v>0</v>
      </c>
    </row>
    <row r="117" spans="1:3" x14ac:dyDescent="0.25">
      <c r="A117" s="1" t="s">
        <v>3</v>
      </c>
      <c r="B117" s="1" t="s">
        <v>48</v>
      </c>
      <c r="C117" s="1">
        <v>0</v>
      </c>
    </row>
    <row r="118" spans="1:3" x14ac:dyDescent="0.25">
      <c r="A118" s="1" t="s">
        <v>4</v>
      </c>
      <c r="B118" s="1" t="s">
        <v>48</v>
      </c>
      <c r="C118" s="1">
        <v>0</v>
      </c>
    </row>
    <row r="119" spans="1:3" x14ac:dyDescent="0.25">
      <c r="A119" s="1" t="s">
        <v>5</v>
      </c>
      <c r="B119" s="1" t="s">
        <v>48</v>
      </c>
      <c r="C119" s="1">
        <v>0</v>
      </c>
    </row>
    <row r="120" spans="1:3" x14ac:dyDescent="0.25">
      <c r="A120" s="1" t="s">
        <v>6</v>
      </c>
      <c r="B120" s="1" t="s">
        <v>48</v>
      </c>
      <c r="C120" s="1">
        <v>0</v>
      </c>
    </row>
    <row r="121" spans="1:3" x14ac:dyDescent="0.25">
      <c r="A121" s="1" t="s">
        <v>7</v>
      </c>
      <c r="B121" s="1" t="s">
        <v>48</v>
      </c>
      <c r="C121" s="1">
        <v>0</v>
      </c>
    </row>
    <row r="122" spans="1:3" x14ac:dyDescent="0.25">
      <c r="A122" s="1" t="s">
        <v>8</v>
      </c>
      <c r="B122" s="1" t="s">
        <v>48</v>
      </c>
      <c r="C122" s="1">
        <v>0</v>
      </c>
    </row>
    <row r="123" spans="1:3" x14ac:dyDescent="0.25">
      <c r="A123" s="1" t="s">
        <v>9</v>
      </c>
      <c r="B123" s="1" t="s">
        <v>48</v>
      </c>
      <c r="C123" s="1">
        <v>0</v>
      </c>
    </row>
    <row r="124" spans="1:3" x14ac:dyDescent="0.25">
      <c r="A124" s="1" t="s">
        <v>10</v>
      </c>
      <c r="B124" s="1" t="s">
        <v>48</v>
      </c>
      <c r="C124" s="1">
        <v>7.0028011204481804E-4</v>
      </c>
    </row>
    <row r="125" spans="1:3" x14ac:dyDescent="0.25">
      <c r="A125" s="1" t="s">
        <v>11</v>
      </c>
      <c r="B125" s="1" t="s">
        <v>48</v>
      </c>
      <c r="C125" s="1">
        <v>7.4173971679029E-3</v>
      </c>
    </row>
    <row r="126" spans="1:3" x14ac:dyDescent="0.25">
      <c r="A126" s="1" t="s">
        <v>12</v>
      </c>
      <c r="B126" s="1" t="s">
        <v>48</v>
      </c>
      <c r="C126" s="1">
        <v>8.9938167509837005E-3</v>
      </c>
    </row>
    <row r="127" spans="1:3" x14ac:dyDescent="0.25">
      <c r="A127" s="1" t="s">
        <v>13</v>
      </c>
      <c r="B127" s="1" t="s">
        <v>48</v>
      </c>
      <c r="C127" s="1">
        <v>1.8805829807240201E-2</v>
      </c>
    </row>
    <row r="128" spans="1:3" x14ac:dyDescent="0.25">
      <c r="A128" s="1" t="s">
        <v>14</v>
      </c>
      <c r="B128" s="1" t="s">
        <v>48</v>
      </c>
      <c r="C128" s="1">
        <v>2.9539530842745399E-2</v>
      </c>
    </row>
    <row r="129" spans="1:3" x14ac:dyDescent="0.25">
      <c r="A129" s="1" t="s">
        <v>15</v>
      </c>
      <c r="B129" s="1" t="s">
        <v>48</v>
      </c>
      <c r="C129" s="1">
        <v>5.7710064635272403E-2</v>
      </c>
    </row>
    <row r="130" spans="1:3" x14ac:dyDescent="0.25">
      <c r="A130" s="1" t="s">
        <v>16</v>
      </c>
      <c r="B130" s="1" t="s">
        <v>48</v>
      </c>
      <c r="C130" s="1">
        <v>7.9872204472843406E-2</v>
      </c>
    </row>
    <row r="131" spans="1:3" x14ac:dyDescent="0.25">
      <c r="A131" s="1" t="s">
        <v>17</v>
      </c>
      <c r="B131" s="1" t="s">
        <v>48</v>
      </c>
      <c r="C131" s="1">
        <v>0.1</v>
      </c>
    </row>
    <row r="132" spans="1:3" x14ac:dyDescent="0.25">
      <c r="A132" s="1" t="s">
        <v>18</v>
      </c>
      <c r="B132" s="1" t="s">
        <v>48</v>
      </c>
      <c r="C132" s="1">
        <v>0.108983799705449</v>
      </c>
    </row>
    <row r="133" spans="1:3" x14ac:dyDescent="0.25">
      <c r="A133" s="1" t="s">
        <v>19</v>
      </c>
      <c r="B133" s="1" t="s">
        <v>48</v>
      </c>
      <c r="C133" s="1">
        <v>0.16184210526315801</v>
      </c>
    </row>
    <row r="134" spans="1:3" x14ac:dyDescent="0.25">
      <c r="A134" s="1" t="s">
        <v>20</v>
      </c>
      <c r="B134" s="1" t="s">
        <v>48</v>
      </c>
      <c r="C134" s="1">
        <v>0.172351885098743</v>
      </c>
    </row>
    <row r="135" spans="1:3" x14ac:dyDescent="0.25">
      <c r="A135" s="1" t="s">
        <v>21</v>
      </c>
      <c r="B135" s="1" t="s">
        <v>48</v>
      </c>
      <c r="C135" s="1">
        <v>0</v>
      </c>
    </row>
    <row r="136" spans="1:3" x14ac:dyDescent="0.25">
      <c r="A136" s="1" t="s">
        <v>22</v>
      </c>
      <c r="B136" s="1" t="s">
        <v>48</v>
      </c>
      <c r="C136" s="1">
        <v>0</v>
      </c>
    </row>
    <row r="137" spans="1:3" x14ac:dyDescent="0.25">
      <c r="A137" s="1" t="s">
        <v>23</v>
      </c>
      <c r="B137" s="1" t="s">
        <v>48</v>
      </c>
      <c r="C137" s="1">
        <v>0</v>
      </c>
    </row>
    <row r="138" spans="1:3" x14ac:dyDescent="0.25">
      <c r="A138" s="1" t="s">
        <v>24</v>
      </c>
      <c r="B138" s="1" t="s">
        <v>48</v>
      </c>
      <c r="C138" s="1">
        <v>0</v>
      </c>
    </row>
    <row r="139" spans="1:3" x14ac:dyDescent="0.25">
      <c r="A139" s="1" t="s">
        <v>25</v>
      </c>
      <c r="B139" s="1" t="s">
        <v>48</v>
      </c>
      <c r="C139" s="1">
        <v>0</v>
      </c>
    </row>
    <row r="140" spans="1:3" x14ac:dyDescent="0.25">
      <c r="A140" s="1" t="s">
        <v>26</v>
      </c>
      <c r="B140" s="1" t="s">
        <v>48</v>
      </c>
      <c r="C140" s="1">
        <v>0</v>
      </c>
    </row>
    <row r="141" spans="1:3" x14ac:dyDescent="0.25">
      <c r="A141" s="1" t="s">
        <v>27</v>
      </c>
      <c r="B141" s="1" t="s">
        <v>48</v>
      </c>
      <c r="C141" s="1">
        <v>6.6755674232309701E-4</v>
      </c>
    </row>
    <row r="142" spans="1:3" x14ac:dyDescent="0.25">
      <c r="A142" s="1" t="s">
        <v>28</v>
      </c>
      <c r="B142" s="1" t="s">
        <v>48</v>
      </c>
      <c r="C142" s="1">
        <v>1.9685039370078701E-3</v>
      </c>
    </row>
    <row r="143" spans="1:3" x14ac:dyDescent="0.25">
      <c r="A143" s="1" t="s">
        <v>29</v>
      </c>
      <c r="B143" s="1" t="s">
        <v>48</v>
      </c>
      <c r="C143" s="1">
        <v>5.0000000000000001E-3</v>
      </c>
    </row>
    <row r="144" spans="1:3" x14ac:dyDescent="0.25">
      <c r="A144" s="1" t="s">
        <v>30</v>
      </c>
      <c r="B144" s="1" t="s">
        <v>48</v>
      </c>
      <c r="C144" s="1">
        <v>1.61064425770308E-2</v>
      </c>
    </row>
    <row r="145" spans="1:3" x14ac:dyDescent="0.25">
      <c r="A145" s="1" t="s">
        <v>31</v>
      </c>
      <c r="B145" s="1" t="s">
        <v>48</v>
      </c>
      <c r="C145" s="1">
        <v>3.5398230088495602E-2</v>
      </c>
    </row>
    <row r="146" spans="1:3" x14ac:dyDescent="0.25">
      <c r="A146" s="1" t="s">
        <v>32</v>
      </c>
      <c r="B146" s="1" t="s">
        <v>48</v>
      </c>
      <c r="C146" s="1">
        <v>5.4733727810650903E-2</v>
      </c>
    </row>
    <row r="147" spans="1:3" x14ac:dyDescent="0.25">
      <c r="A147" s="1" t="s">
        <v>33</v>
      </c>
      <c r="B147" s="1" t="s">
        <v>48</v>
      </c>
      <c r="C147" s="1">
        <v>8.1031307550644596E-2</v>
      </c>
    </row>
    <row r="148" spans="1:3" x14ac:dyDescent="0.25">
      <c r="A148" s="1" t="s">
        <v>34</v>
      </c>
      <c r="B148" s="1" t="s">
        <v>48</v>
      </c>
      <c r="C148" s="1">
        <v>0.12739793408755501</v>
      </c>
    </row>
    <row r="149" spans="1:3" x14ac:dyDescent="0.25">
      <c r="A149" s="1" t="s">
        <v>35</v>
      </c>
      <c r="B149" s="1" t="s">
        <v>48</v>
      </c>
      <c r="C149" s="1">
        <v>0.16099249855741499</v>
      </c>
    </row>
    <row r="150" spans="1:3" x14ac:dyDescent="0.25">
      <c r="A150" s="1" t="s">
        <v>36</v>
      </c>
      <c r="B150" s="1" t="s">
        <v>48</v>
      </c>
      <c r="C150" s="1">
        <v>0.206267806267806</v>
      </c>
    </row>
    <row r="151" spans="1:3" x14ac:dyDescent="0.25">
      <c r="A151" s="1" t="s">
        <v>37</v>
      </c>
      <c r="B151" s="1" t="s">
        <v>48</v>
      </c>
      <c r="C151" s="1">
        <v>0.23008849557522101</v>
      </c>
    </row>
    <row r="152" spans="1:3" x14ac:dyDescent="0.25">
      <c r="A152" s="1" t="s">
        <v>38</v>
      </c>
      <c r="B152" s="1" t="s">
        <v>48</v>
      </c>
      <c r="C152" s="1">
        <v>0.24337748344370899</v>
      </c>
    </row>
    <row r="153" spans="1:3" x14ac:dyDescent="0.25">
      <c r="A153" s="1" t="s">
        <v>39</v>
      </c>
      <c r="B153" s="1" t="s">
        <v>48</v>
      </c>
      <c r="C153" s="1">
        <v>0.31067961165048502</v>
      </c>
    </row>
    <row r="154" spans="1:3" x14ac:dyDescent="0.25">
      <c r="A154" s="1" t="s">
        <v>2</v>
      </c>
      <c r="B154" s="1" t="s">
        <v>56</v>
      </c>
      <c r="C154" s="1">
        <v>0</v>
      </c>
    </row>
    <row r="155" spans="1:3" x14ac:dyDescent="0.25">
      <c r="A155" s="1" t="s">
        <v>3</v>
      </c>
      <c r="B155" s="1" t="s">
        <v>56</v>
      </c>
      <c r="C155" s="1">
        <v>0</v>
      </c>
    </row>
    <row r="156" spans="1:3" x14ac:dyDescent="0.25">
      <c r="A156" s="1" t="s">
        <v>4</v>
      </c>
      <c r="B156" s="1" t="s">
        <v>56</v>
      </c>
      <c r="C156" s="1">
        <v>0</v>
      </c>
    </row>
    <row r="157" spans="1:3" x14ac:dyDescent="0.25">
      <c r="A157" s="1" t="s">
        <v>5</v>
      </c>
      <c r="B157" s="1" t="s">
        <v>56</v>
      </c>
      <c r="C157" s="1">
        <v>0</v>
      </c>
    </row>
    <row r="158" spans="1:3" x14ac:dyDescent="0.25">
      <c r="A158" s="1" t="s">
        <v>6</v>
      </c>
      <c r="B158" s="1" t="s">
        <v>56</v>
      </c>
      <c r="C158" s="1">
        <v>0</v>
      </c>
    </row>
    <row r="159" spans="1:3" x14ac:dyDescent="0.25">
      <c r="A159" s="1" t="s">
        <v>7</v>
      </c>
      <c r="B159" s="1" t="s">
        <v>56</v>
      </c>
      <c r="C159" s="1">
        <v>0</v>
      </c>
    </row>
    <row r="160" spans="1:3" x14ac:dyDescent="0.25">
      <c r="A160" s="1" t="s">
        <v>8</v>
      </c>
      <c r="B160" s="1" t="s">
        <v>56</v>
      </c>
      <c r="C160" s="1">
        <v>0</v>
      </c>
    </row>
    <row r="161" spans="1:3" x14ac:dyDescent="0.25">
      <c r="A161" s="1" t="s">
        <v>9</v>
      </c>
      <c r="B161" s="1" t="s">
        <v>56</v>
      </c>
      <c r="C161" s="1">
        <v>6.4808813998703803E-4</v>
      </c>
    </row>
    <row r="162" spans="1:3" x14ac:dyDescent="0.25">
      <c r="A162" s="1" t="s">
        <v>10</v>
      </c>
      <c r="B162" s="1" t="s">
        <v>56</v>
      </c>
      <c r="C162" s="1">
        <v>2.80112044817927E-3</v>
      </c>
    </row>
    <row r="163" spans="1:3" x14ac:dyDescent="0.25">
      <c r="A163" s="1" t="s">
        <v>11</v>
      </c>
      <c r="B163" s="1" t="s">
        <v>56</v>
      </c>
      <c r="C163" s="1">
        <v>2.6972353337828699E-3</v>
      </c>
    </row>
    <row r="164" spans="1:3" x14ac:dyDescent="0.25">
      <c r="A164" s="1" t="s">
        <v>12</v>
      </c>
      <c r="B164" s="1" t="s">
        <v>56</v>
      </c>
      <c r="C164" s="1">
        <v>9.5559302979201805E-3</v>
      </c>
    </row>
    <row r="165" spans="1:3" x14ac:dyDescent="0.25">
      <c r="A165" s="1" t="s">
        <v>13</v>
      </c>
      <c r="B165" s="1" t="s">
        <v>56</v>
      </c>
      <c r="C165" s="1">
        <v>1.8335684062059199E-2</v>
      </c>
    </row>
    <row r="166" spans="1:3" x14ac:dyDescent="0.25">
      <c r="A166" s="1" t="s">
        <v>14</v>
      </c>
      <c r="B166" s="1" t="s">
        <v>56</v>
      </c>
      <c r="C166" s="1">
        <v>3.6055603822762801E-2</v>
      </c>
    </row>
    <row r="167" spans="1:3" x14ac:dyDescent="0.25">
      <c r="A167" s="1" t="s">
        <v>15</v>
      </c>
      <c r="B167" s="1" t="s">
        <v>56</v>
      </c>
      <c r="C167" s="1">
        <v>5.0323176361957503E-2</v>
      </c>
    </row>
    <row r="168" spans="1:3" x14ac:dyDescent="0.25">
      <c r="A168" s="1" t="s">
        <v>16</v>
      </c>
      <c r="B168" s="1" t="s">
        <v>56</v>
      </c>
      <c r="C168" s="1">
        <v>0.105431309904153</v>
      </c>
    </row>
    <row r="169" spans="1:3" x14ac:dyDescent="0.25">
      <c r="A169" s="1" t="s">
        <v>17</v>
      </c>
      <c r="B169" s="1" t="s">
        <v>56</v>
      </c>
      <c r="C169" s="1">
        <v>0.163959390862944</v>
      </c>
    </row>
    <row r="170" spans="1:3" x14ac:dyDescent="0.25">
      <c r="A170" s="1" t="s">
        <v>18</v>
      </c>
      <c r="B170" s="1" t="s">
        <v>56</v>
      </c>
      <c r="C170" s="1">
        <v>0.26656848306332798</v>
      </c>
    </row>
    <row r="171" spans="1:3" x14ac:dyDescent="0.25">
      <c r="A171" s="1" t="s">
        <v>19</v>
      </c>
      <c r="B171" s="1" t="s">
        <v>56</v>
      </c>
      <c r="C171" s="1">
        <v>0.36184210526315802</v>
      </c>
    </row>
    <row r="172" spans="1:3" x14ac:dyDescent="0.25">
      <c r="A172" s="1" t="s">
        <v>20</v>
      </c>
      <c r="B172" s="1" t="s">
        <v>56</v>
      </c>
      <c r="C172" s="1">
        <v>0.44703770197486498</v>
      </c>
    </row>
    <row r="173" spans="1:3" x14ac:dyDescent="0.25">
      <c r="A173" s="1" t="s">
        <v>21</v>
      </c>
      <c r="B173" s="1" t="s">
        <v>56</v>
      </c>
      <c r="C173" s="1">
        <v>0</v>
      </c>
    </row>
    <row r="174" spans="1:3" x14ac:dyDescent="0.25">
      <c r="A174" s="1" t="s">
        <v>22</v>
      </c>
      <c r="B174" s="1" t="s">
        <v>56</v>
      </c>
      <c r="C174" s="1">
        <v>0</v>
      </c>
    </row>
    <row r="175" spans="1:3" x14ac:dyDescent="0.25">
      <c r="A175" s="1" t="s">
        <v>23</v>
      </c>
      <c r="B175" s="1" t="s">
        <v>56</v>
      </c>
      <c r="C175" s="1">
        <v>0</v>
      </c>
    </row>
    <row r="176" spans="1:3" x14ac:dyDescent="0.25">
      <c r="A176" s="1" t="s">
        <v>24</v>
      </c>
      <c r="B176" s="1" t="s">
        <v>56</v>
      </c>
      <c r="C176" s="1">
        <v>0</v>
      </c>
    </row>
    <row r="177" spans="1:3" x14ac:dyDescent="0.25">
      <c r="A177" s="1" t="s">
        <v>25</v>
      </c>
      <c r="B177" s="1" t="s">
        <v>56</v>
      </c>
      <c r="C177" s="1">
        <v>0</v>
      </c>
    </row>
    <row r="178" spans="1:3" x14ac:dyDescent="0.25">
      <c r="A178" s="1" t="s">
        <v>26</v>
      </c>
      <c r="B178" s="1" t="s">
        <v>56</v>
      </c>
      <c r="C178" s="1">
        <v>1.47167034584253E-3</v>
      </c>
    </row>
    <row r="179" spans="1:3" x14ac:dyDescent="0.25">
      <c r="A179" s="1" t="s">
        <v>27</v>
      </c>
      <c r="B179" s="1" t="s">
        <v>56</v>
      </c>
      <c r="C179" s="1">
        <v>4.6728971962616802E-3</v>
      </c>
    </row>
    <row r="180" spans="1:3" x14ac:dyDescent="0.25">
      <c r="A180" s="1" t="s">
        <v>28</v>
      </c>
      <c r="B180" s="1" t="s">
        <v>56</v>
      </c>
      <c r="C180" s="1">
        <v>2.6246719160105E-3</v>
      </c>
    </row>
    <row r="181" spans="1:3" x14ac:dyDescent="0.25">
      <c r="A181" s="1" t="s">
        <v>29</v>
      </c>
      <c r="B181" s="1" t="s">
        <v>56</v>
      </c>
      <c r="C181" s="1">
        <v>7.1428571428571396E-4</v>
      </c>
    </row>
    <row r="182" spans="1:3" x14ac:dyDescent="0.25">
      <c r="A182" s="1" t="s">
        <v>30</v>
      </c>
      <c r="B182" s="1" t="s">
        <v>56</v>
      </c>
      <c r="C182" s="1">
        <v>2.80112044817927E-3</v>
      </c>
    </row>
    <row r="183" spans="1:3" x14ac:dyDescent="0.25">
      <c r="A183" s="1" t="s">
        <v>31</v>
      </c>
      <c r="B183" s="1" t="s">
        <v>56</v>
      </c>
      <c r="C183" s="1">
        <v>5.6890012642224997E-3</v>
      </c>
    </row>
    <row r="184" spans="1:3" x14ac:dyDescent="0.25">
      <c r="A184" s="1" t="s">
        <v>32</v>
      </c>
      <c r="B184" s="1" t="s">
        <v>56</v>
      </c>
      <c r="C184" s="1">
        <v>1.52859960552268E-2</v>
      </c>
    </row>
    <row r="185" spans="1:3" x14ac:dyDescent="0.25">
      <c r="A185" s="1" t="s">
        <v>33</v>
      </c>
      <c r="B185" s="1" t="s">
        <v>56</v>
      </c>
      <c r="C185" s="1">
        <v>2.44014732965009E-2</v>
      </c>
    </row>
    <row r="186" spans="1:3" x14ac:dyDescent="0.25">
      <c r="A186" s="1" t="s">
        <v>34</v>
      </c>
      <c r="B186" s="1" t="s">
        <v>56</v>
      </c>
      <c r="C186" s="1">
        <v>5.4107230693556302E-2</v>
      </c>
    </row>
    <row r="187" spans="1:3" x14ac:dyDescent="0.25">
      <c r="A187" s="1" t="s">
        <v>35</v>
      </c>
      <c r="B187" s="1" t="s">
        <v>56</v>
      </c>
      <c r="C187" s="1">
        <v>9.1748413156376205E-2</v>
      </c>
    </row>
    <row r="188" spans="1:3" x14ac:dyDescent="0.25">
      <c r="A188" s="1" t="s">
        <v>36</v>
      </c>
      <c r="B188" s="1" t="s">
        <v>56</v>
      </c>
      <c r="C188" s="1">
        <v>0.178347578347578</v>
      </c>
    </row>
    <row r="189" spans="1:3" x14ac:dyDescent="0.25">
      <c r="A189" s="1" t="s">
        <v>37</v>
      </c>
      <c r="B189" s="1" t="s">
        <v>56</v>
      </c>
      <c r="C189" s="1">
        <v>0.27610619469026498</v>
      </c>
    </row>
    <row r="190" spans="1:3" x14ac:dyDescent="0.25">
      <c r="A190" s="1" t="s">
        <v>38</v>
      </c>
      <c r="B190" s="1" t="s">
        <v>56</v>
      </c>
      <c r="C190" s="1">
        <v>0.32947019867549698</v>
      </c>
    </row>
    <row r="191" spans="1:3" x14ac:dyDescent="0.25">
      <c r="A191" s="1" t="s">
        <v>39</v>
      </c>
      <c r="B191" s="1" t="s">
        <v>56</v>
      </c>
      <c r="C191" s="1">
        <v>0.42071197411003203</v>
      </c>
    </row>
    <row r="192" spans="1:3" x14ac:dyDescent="0.25">
      <c r="A192" s="1" t="s">
        <v>2</v>
      </c>
      <c r="B192" s="1" t="s">
        <v>57</v>
      </c>
      <c r="C192" s="1">
        <v>9.7087378640776695E-4</v>
      </c>
    </row>
    <row r="193" spans="1:3" x14ac:dyDescent="0.25">
      <c r="A193" s="1" t="s">
        <v>3</v>
      </c>
      <c r="B193" s="1" t="s">
        <v>57</v>
      </c>
      <c r="C193" s="1">
        <v>0</v>
      </c>
    </row>
    <row r="194" spans="1:3" x14ac:dyDescent="0.25">
      <c r="A194" s="1" t="s">
        <v>4</v>
      </c>
      <c r="B194" s="1" t="s">
        <v>57</v>
      </c>
      <c r="C194" s="1">
        <v>0</v>
      </c>
    </row>
    <row r="195" spans="1:3" x14ac:dyDescent="0.25">
      <c r="A195" s="1" t="s">
        <v>5</v>
      </c>
      <c r="B195" s="1" t="s">
        <v>57</v>
      </c>
      <c r="C195" s="1">
        <v>0</v>
      </c>
    </row>
    <row r="196" spans="1:3" x14ac:dyDescent="0.25">
      <c r="A196" s="1" t="s">
        <v>6</v>
      </c>
      <c r="B196" s="1" t="s">
        <v>57</v>
      </c>
      <c r="C196" s="1">
        <v>0</v>
      </c>
    </row>
    <row r="197" spans="1:3" x14ac:dyDescent="0.25">
      <c r="A197" s="1" t="s">
        <v>7</v>
      </c>
      <c r="B197" s="1" t="s">
        <v>57</v>
      </c>
      <c r="C197" s="1">
        <v>0</v>
      </c>
    </row>
    <row r="198" spans="1:3" x14ac:dyDescent="0.25">
      <c r="A198" s="1" t="s">
        <v>8</v>
      </c>
      <c r="B198" s="1" t="s">
        <v>57</v>
      </c>
      <c r="C198" s="1">
        <v>7.0472163495419301E-4</v>
      </c>
    </row>
    <row r="199" spans="1:3" x14ac:dyDescent="0.25">
      <c r="A199" s="1" t="s">
        <v>9</v>
      </c>
      <c r="B199" s="1" t="s">
        <v>57</v>
      </c>
      <c r="C199" s="1">
        <v>0</v>
      </c>
    </row>
    <row r="200" spans="1:3" x14ac:dyDescent="0.25">
      <c r="A200" s="1" t="s">
        <v>10</v>
      </c>
      <c r="B200" s="1" t="s">
        <v>57</v>
      </c>
      <c r="C200" s="1">
        <v>2.1008403361344498E-3</v>
      </c>
    </row>
    <row r="201" spans="1:3" x14ac:dyDescent="0.25">
      <c r="A201" s="1" t="s">
        <v>11</v>
      </c>
      <c r="B201" s="1" t="s">
        <v>57</v>
      </c>
      <c r="C201" s="1">
        <v>7.4173971679029E-3</v>
      </c>
    </row>
    <row r="202" spans="1:3" x14ac:dyDescent="0.25">
      <c r="A202" s="1" t="s">
        <v>12</v>
      </c>
      <c r="B202" s="1" t="s">
        <v>57</v>
      </c>
      <c r="C202" s="1">
        <v>1.18043844856661E-2</v>
      </c>
    </row>
    <row r="203" spans="1:3" x14ac:dyDescent="0.25">
      <c r="A203" s="1" t="s">
        <v>13</v>
      </c>
      <c r="B203" s="1" t="s">
        <v>57</v>
      </c>
      <c r="C203" s="1">
        <v>2.5387870239774301E-2</v>
      </c>
    </row>
    <row r="204" spans="1:3" x14ac:dyDescent="0.25">
      <c r="A204" s="1" t="s">
        <v>14</v>
      </c>
      <c r="B204" s="1" t="s">
        <v>57</v>
      </c>
      <c r="C204" s="1">
        <v>2.99739357080799E-2</v>
      </c>
    </row>
    <row r="205" spans="1:3" x14ac:dyDescent="0.25">
      <c r="A205" s="1" t="s">
        <v>15</v>
      </c>
      <c r="B205" s="1" t="s">
        <v>57</v>
      </c>
      <c r="C205" s="1">
        <v>3.4164358264081297E-2</v>
      </c>
    </row>
    <row r="206" spans="1:3" x14ac:dyDescent="0.25">
      <c r="A206" s="1" t="s">
        <v>16</v>
      </c>
      <c r="B206" s="1" t="s">
        <v>57</v>
      </c>
      <c r="C206" s="1">
        <v>6.0170394036208698E-2</v>
      </c>
    </row>
    <row r="207" spans="1:3" x14ac:dyDescent="0.25">
      <c r="A207" s="1" t="s">
        <v>17</v>
      </c>
      <c r="B207" s="1" t="s">
        <v>57</v>
      </c>
      <c r="C207" s="1">
        <v>5.9898477157360401E-2</v>
      </c>
    </row>
    <row r="208" spans="1:3" x14ac:dyDescent="0.25">
      <c r="A208" s="1" t="s">
        <v>18</v>
      </c>
      <c r="B208" s="1" t="s">
        <v>57</v>
      </c>
      <c r="C208" s="1">
        <v>5.3019145802650998E-2</v>
      </c>
    </row>
    <row r="209" spans="1:3" x14ac:dyDescent="0.25">
      <c r="A209" s="1" t="s">
        <v>19</v>
      </c>
      <c r="B209" s="1" t="s">
        <v>57</v>
      </c>
      <c r="C209" s="1">
        <v>5.7894736842105297E-2</v>
      </c>
    </row>
    <row r="210" spans="1:3" x14ac:dyDescent="0.25">
      <c r="A210" s="1" t="s">
        <v>20</v>
      </c>
      <c r="B210" s="1" t="s">
        <v>57</v>
      </c>
      <c r="C210" s="1">
        <v>2.3339317773788101E-2</v>
      </c>
    </row>
    <row r="211" spans="1:3" x14ac:dyDescent="0.25">
      <c r="A211" s="1" t="s">
        <v>21</v>
      </c>
      <c r="B211" s="1" t="s">
        <v>57</v>
      </c>
      <c r="C211" s="1">
        <v>0</v>
      </c>
    </row>
    <row r="212" spans="1:3" x14ac:dyDescent="0.25">
      <c r="A212" s="1" t="s">
        <v>22</v>
      </c>
      <c r="B212" s="1" t="s">
        <v>57</v>
      </c>
      <c r="C212" s="1">
        <v>0</v>
      </c>
    </row>
    <row r="213" spans="1:3" x14ac:dyDescent="0.25">
      <c r="A213" s="1" t="s">
        <v>23</v>
      </c>
      <c r="B213" s="1" t="s">
        <v>57</v>
      </c>
      <c r="C213" s="1">
        <v>6.3816209317166597E-4</v>
      </c>
    </row>
    <row r="214" spans="1:3" x14ac:dyDescent="0.25">
      <c r="A214" s="1" t="s">
        <v>24</v>
      </c>
      <c r="B214" s="1" t="s">
        <v>57</v>
      </c>
      <c r="C214" s="1">
        <v>0</v>
      </c>
    </row>
    <row r="215" spans="1:3" x14ac:dyDescent="0.25">
      <c r="A215" s="1" t="s">
        <v>25</v>
      </c>
      <c r="B215" s="1" t="s">
        <v>57</v>
      </c>
      <c r="C215" s="1">
        <v>0</v>
      </c>
    </row>
    <row r="216" spans="1:3" x14ac:dyDescent="0.25">
      <c r="A216" s="1" t="s">
        <v>26</v>
      </c>
      <c r="B216" s="1" t="s">
        <v>57</v>
      </c>
      <c r="C216" s="1">
        <v>0</v>
      </c>
    </row>
    <row r="217" spans="1:3" x14ac:dyDescent="0.25">
      <c r="A217" s="1" t="s">
        <v>27</v>
      </c>
      <c r="B217" s="1" t="s">
        <v>57</v>
      </c>
      <c r="C217" s="1">
        <v>0</v>
      </c>
    </row>
    <row r="218" spans="1:3" x14ac:dyDescent="0.25">
      <c r="A218" s="1" t="s">
        <v>28</v>
      </c>
      <c r="B218" s="1" t="s">
        <v>57</v>
      </c>
      <c r="C218" s="1">
        <v>1.31233595800525E-3</v>
      </c>
    </row>
    <row r="219" spans="1:3" x14ac:dyDescent="0.25">
      <c r="A219" s="1" t="s">
        <v>29</v>
      </c>
      <c r="B219" s="1" t="s">
        <v>57</v>
      </c>
      <c r="C219" s="1">
        <v>5.0000000000000001E-3</v>
      </c>
    </row>
    <row r="220" spans="1:3" x14ac:dyDescent="0.25">
      <c r="A220" s="1" t="s">
        <v>30</v>
      </c>
      <c r="B220" s="1" t="s">
        <v>57</v>
      </c>
      <c r="C220" s="1">
        <v>1.26050420168067E-2</v>
      </c>
    </row>
    <row r="221" spans="1:3" x14ac:dyDescent="0.25">
      <c r="A221" s="1" t="s">
        <v>31</v>
      </c>
      <c r="B221" s="1" t="s">
        <v>57</v>
      </c>
      <c r="C221" s="1">
        <v>1.5802781289507E-2</v>
      </c>
    </row>
    <row r="222" spans="1:3" x14ac:dyDescent="0.25">
      <c r="A222" s="1" t="s">
        <v>32</v>
      </c>
      <c r="B222" s="1" t="s">
        <v>57</v>
      </c>
      <c r="C222" s="1">
        <v>2.8599605522682401E-2</v>
      </c>
    </row>
    <row r="223" spans="1:3" x14ac:dyDescent="0.25">
      <c r="A223" s="1" t="s">
        <v>33</v>
      </c>
      <c r="B223" s="1" t="s">
        <v>57</v>
      </c>
      <c r="C223" s="1">
        <v>4.1896869244935499E-2</v>
      </c>
    </row>
    <row r="224" spans="1:3" x14ac:dyDescent="0.25">
      <c r="A224" s="1" t="s">
        <v>34</v>
      </c>
      <c r="B224" s="1" t="s">
        <v>57</v>
      </c>
      <c r="C224" s="1">
        <v>4.7712739793408801E-2</v>
      </c>
    </row>
    <row r="225" spans="1:3" x14ac:dyDescent="0.25">
      <c r="A225" s="1" t="s">
        <v>35</v>
      </c>
      <c r="B225" s="1" t="s">
        <v>57</v>
      </c>
      <c r="C225" s="1">
        <v>6.2896710905943495E-2</v>
      </c>
    </row>
    <row r="226" spans="1:3" x14ac:dyDescent="0.25">
      <c r="A226" s="1" t="s">
        <v>36</v>
      </c>
      <c r="B226" s="1" t="s">
        <v>57</v>
      </c>
      <c r="C226" s="1">
        <v>8.4330484330484304E-2</v>
      </c>
    </row>
    <row r="227" spans="1:3" x14ac:dyDescent="0.25">
      <c r="A227" s="1" t="s">
        <v>37</v>
      </c>
      <c r="B227" s="1" t="s">
        <v>57</v>
      </c>
      <c r="C227" s="1">
        <v>9.4690265486725697E-2</v>
      </c>
    </row>
    <row r="228" spans="1:3" x14ac:dyDescent="0.25">
      <c r="A228" s="1" t="s">
        <v>38</v>
      </c>
      <c r="B228" s="1" t="s">
        <v>57</v>
      </c>
      <c r="C228" s="1">
        <v>8.7748344370860903E-2</v>
      </c>
    </row>
    <row r="229" spans="1:3" x14ac:dyDescent="0.25">
      <c r="A229" s="1" t="s">
        <v>39</v>
      </c>
      <c r="B229" s="1" t="s">
        <v>57</v>
      </c>
      <c r="C229" s="1">
        <v>4.85436893203883E-2</v>
      </c>
    </row>
    <row r="230" spans="1:3" x14ac:dyDescent="0.25">
      <c r="A230" s="1" t="s">
        <v>2</v>
      </c>
      <c r="B230" s="1" t="s">
        <v>58</v>
      </c>
      <c r="C230" s="1">
        <v>0</v>
      </c>
    </row>
    <row r="231" spans="1:3" x14ac:dyDescent="0.25">
      <c r="A231" s="1" t="s">
        <v>3</v>
      </c>
      <c r="B231" s="1" t="s">
        <v>58</v>
      </c>
      <c r="C231" s="1">
        <v>0</v>
      </c>
    </row>
    <row r="232" spans="1:3" x14ac:dyDescent="0.25">
      <c r="A232" s="1" t="s">
        <v>4</v>
      </c>
      <c r="B232" s="1" t="s">
        <v>58</v>
      </c>
      <c r="C232" s="1">
        <v>0</v>
      </c>
    </row>
    <row r="233" spans="1:3" x14ac:dyDescent="0.25">
      <c r="A233" s="1" t="s">
        <v>5</v>
      </c>
      <c r="B233" s="1" t="s">
        <v>58</v>
      </c>
      <c r="C233" s="1">
        <v>0</v>
      </c>
    </row>
    <row r="234" spans="1:3" x14ac:dyDescent="0.25">
      <c r="A234" s="1" t="s">
        <v>6</v>
      </c>
      <c r="B234" s="1" t="s">
        <v>58</v>
      </c>
      <c r="C234" s="1">
        <v>0</v>
      </c>
    </row>
    <row r="235" spans="1:3" x14ac:dyDescent="0.25">
      <c r="A235" s="1" t="s">
        <v>7</v>
      </c>
      <c r="B235" s="1" t="s">
        <v>58</v>
      </c>
      <c r="C235" s="1">
        <v>0</v>
      </c>
    </row>
    <row r="236" spans="1:3" x14ac:dyDescent="0.25">
      <c r="A236" s="1" t="s">
        <v>8</v>
      </c>
      <c r="B236" s="1" t="s">
        <v>58</v>
      </c>
      <c r="C236" s="1">
        <v>0</v>
      </c>
    </row>
    <row r="237" spans="1:3" x14ac:dyDescent="0.25">
      <c r="A237" s="1" t="s">
        <v>9</v>
      </c>
      <c r="B237" s="1" t="s">
        <v>58</v>
      </c>
      <c r="C237" s="1">
        <v>0</v>
      </c>
    </row>
    <row r="238" spans="1:3" x14ac:dyDescent="0.25">
      <c r="A238" s="1" t="s">
        <v>10</v>
      </c>
      <c r="B238" s="1" t="s">
        <v>58</v>
      </c>
      <c r="C238" s="1">
        <v>0</v>
      </c>
    </row>
    <row r="239" spans="1:3" x14ac:dyDescent="0.25">
      <c r="A239" s="1" t="s">
        <v>11</v>
      </c>
      <c r="B239" s="1" t="s">
        <v>58</v>
      </c>
      <c r="C239" s="1">
        <v>0</v>
      </c>
    </row>
    <row r="240" spans="1:3" x14ac:dyDescent="0.25">
      <c r="A240" s="1" t="s">
        <v>12</v>
      </c>
      <c r="B240" s="1" t="s">
        <v>58</v>
      </c>
      <c r="C240" s="1">
        <v>0</v>
      </c>
    </row>
    <row r="241" spans="1:3" x14ac:dyDescent="0.25">
      <c r="A241" s="1" t="s">
        <v>13</v>
      </c>
      <c r="B241" s="1" t="s">
        <v>58</v>
      </c>
      <c r="C241" s="1">
        <v>4.7014574518100598E-4</v>
      </c>
    </row>
    <row r="242" spans="1:3" x14ac:dyDescent="0.25">
      <c r="A242" s="1" t="s">
        <v>14</v>
      </c>
      <c r="B242" s="1" t="s">
        <v>58</v>
      </c>
      <c r="C242" s="1">
        <v>3.0408340573414398E-3</v>
      </c>
    </row>
    <row r="243" spans="1:3" x14ac:dyDescent="0.25">
      <c r="A243" s="1" t="s">
        <v>15</v>
      </c>
      <c r="B243" s="1" t="s">
        <v>58</v>
      </c>
      <c r="C243" s="1">
        <v>3.23176361957525E-3</v>
      </c>
    </row>
    <row r="244" spans="1:3" x14ac:dyDescent="0.25">
      <c r="A244" s="1" t="s">
        <v>16</v>
      </c>
      <c r="B244" s="1" t="s">
        <v>58</v>
      </c>
      <c r="C244" s="1">
        <v>7.45473908413206E-3</v>
      </c>
    </row>
    <row r="245" spans="1:3" x14ac:dyDescent="0.25">
      <c r="A245" s="1" t="s">
        <v>17</v>
      </c>
      <c r="B245" s="1" t="s">
        <v>58</v>
      </c>
      <c r="C245" s="1">
        <v>2.8934010152284299E-2</v>
      </c>
    </row>
    <row r="246" spans="1:3" x14ac:dyDescent="0.25">
      <c r="A246" s="1" t="s">
        <v>18</v>
      </c>
      <c r="B246" s="1" t="s">
        <v>58</v>
      </c>
      <c r="C246" s="1">
        <v>6.7010309278350499E-2</v>
      </c>
    </row>
    <row r="247" spans="1:3" x14ac:dyDescent="0.25">
      <c r="A247" s="1" t="s">
        <v>19</v>
      </c>
      <c r="B247" s="1" t="s">
        <v>58</v>
      </c>
      <c r="C247" s="1">
        <v>0.12368421052631599</v>
      </c>
    </row>
    <row r="248" spans="1:3" x14ac:dyDescent="0.25">
      <c r="A248" s="1" t="s">
        <v>20</v>
      </c>
      <c r="B248" s="1" t="s">
        <v>58</v>
      </c>
      <c r="C248" s="1">
        <v>0.17953321364452399</v>
      </c>
    </row>
    <row r="249" spans="1:3" x14ac:dyDescent="0.25">
      <c r="A249" s="1" t="s">
        <v>21</v>
      </c>
      <c r="B249" s="1" t="s">
        <v>58</v>
      </c>
      <c r="C249" s="1">
        <v>0</v>
      </c>
    </row>
    <row r="250" spans="1:3" x14ac:dyDescent="0.25">
      <c r="A250" s="1" t="s">
        <v>22</v>
      </c>
      <c r="B250" s="1" t="s">
        <v>58</v>
      </c>
      <c r="C250" s="1">
        <v>0</v>
      </c>
    </row>
    <row r="251" spans="1:3" x14ac:dyDescent="0.25">
      <c r="A251" s="1" t="s">
        <v>23</v>
      </c>
      <c r="B251" s="1" t="s">
        <v>58</v>
      </c>
      <c r="C251" s="1">
        <v>0</v>
      </c>
    </row>
    <row r="252" spans="1:3" x14ac:dyDescent="0.25">
      <c r="A252" s="1" t="s">
        <v>24</v>
      </c>
      <c r="B252" s="1" t="s">
        <v>58</v>
      </c>
      <c r="C252" s="1">
        <v>0</v>
      </c>
    </row>
    <row r="253" spans="1:3" x14ac:dyDescent="0.25">
      <c r="A253" s="1" t="s">
        <v>25</v>
      </c>
      <c r="B253" s="1" t="s">
        <v>58</v>
      </c>
      <c r="C253" s="1">
        <v>0</v>
      </c>
    </row>
    <row r="254" spans="1:3" x14ac:dyDescent="0.25">
      <c r="A254" s="1" t="s">
        <v>26</v>
      </c>
      <c r="B254" s="1" t="s">
        <v>58</v>
      </c>
      <c r="C254" s="1">
        <v>0</v>
      </c>
    </row>
    <row r="255" spans="1:3" x14ac:dyDescent="0.25">
      <c r="A255" s="1" t="s">
        <v>27</v>
      </c>
      <c r="B255" s="1" t="s">
        <v>58</v>
      </c>
      <c r="C255" s="1">
        <v>0</v>
      </c>
    </row>
    <row r="256" spans="1:3" x14ac:dyDescent="0.25">
      <c r="A256" s="1" t="s">
        <v>28</v>
      </c>
      <c r="B256" s="1" t="s">
        <v>58</v>
      </c>
      <c r="C256" s="1">
        <v>0</v>
      </c>
    </row>
    <row r="257" spans="1:3" x14ac:dyDescent="0.25">
      <c r="A257" s="1" t="s">
        <v>29</v>
      </c>
      <c r="B257" s="1" t="s">
        <v>58</v>
      </c>
      <c r="C257" s="1">
        <v>0</v>
      </c>
    </row>
    <row r="258" spans="1:3" x14ac:dyDescent="0.25">
      <c r="A258" s="1" t="s">
        <v>30</v>
      </c>
      <c r="B258" s="1" t="s">
        <v>58</v>
      </c>
      <c r="C258" s="1">
        <v>0</v>
      </c>
    </row>
    <row r="259" spans="1:3" x14ac:dyDescent="0.25">
      <c r="A259" s="1" t="s">
        <v>31</v>
      </c>
      <c r="B259" s="1" t="s">
        <v>58</v>
      </c>
      <c r="C259" s="1">
        <v>6.3211125158027797E-4</v>
      </c>
    </row>
    <row r="260" spans="1:3" x14ac:dyDescent="0.25">
      <c r="A260" s="1" t="s">
        <v>32</v>
      </c>
      <c r="B260" s="1" t="s">
        <v>58</v>
      </c>
      <c r="C260" s="1">
        <v>9.8619329388560206E-4</v>
      </c>
    </row>
    <row r="261" spans="1:3" x14ac:dyDescent="0.25">
      <c r="A261" s="1" t="s">
        <v>33</v>
      </c>
      <c r="B261" s="1" t="s">
        <v>58</v>
      </c>
      <c r="C261" s="1">
        <v>1.8416206261510099E-3</v>
      </c>
    </row>
    <row r="262" spans="1:3" x14ac:dyDescent="0.25">
      <c r="A262" s="1" t="s">
        <v>34</v>
      </c>
      <c r="B262" s="1" t="s">
        <v>58</v>
      </c>
      <c r="C262" s="1">
        <v>9.8376783079193305E-4</v>
      </c>
    </row>
    <row r="263" spans="1:3" x14ac:dyDescent="0.25">
      <c r="A263" s="1" t="s">
        <v>35</v>
      </c>
      <c r="B263" s="1" t="s">
        <v>58</v>
      </c>
      <c r="C263" s="1">
        <v>9.2325447201384893E-3</v>
      </c>
    </row>
    <row r="264" spans="1:3" x14ac:dyDescent="0.25">
      <c r="A264" s="1" t="s">
        <v>36</v>
      </c>
      <c r="B264" s="1" t="s">
        <v>58</v>
      </c>
      <c r="C264" s="1">
        <v>2.5641025641025599E-2</v>
      </c>
    </row>
    <row r="265" spans="1:3" x14ac:dyDescent="0.25">
      <c r="A265" s="1" t="s">
        <v>37</v>
      </c>
      <c r="B265" s="1" t="s">
        <v>58</v>
      </c>
      <c r="C265" s="1">
        <v>5.39823008849558E-2</v>
      </c>
    </row>
    <row r="266" spans="1:3" x14ac:dyDescent="0.25">
      <c r="A266" s="1" t="s">
        <v>38</v>
      </c>
      <c r="B266" s="1" t="s">
        <v>58</v>
      </c>
      <c r="C266" s="1">
        <v>7.6158940397350994E-2</v>
      </c>
    </row>
    <row r="267" spans="1:3" x14ac:dyDescent="0.25">
      <c r="A267" s="1" t="s">
        <v>39</v>
      </c>
      <c r="B267" s="1" t="s">
        <v>58</v>
      </c>
      <c r="C267" s="1">
        <v>0.122977346278317</v>
      </c>
    </row>
    <row r="268" spans="1:3" x14ac:dyDescent="0.25">
      <c r="A268" s="1" t="s">
        <v>2</v>
      </c>
      <c r="B268" s="1" t="s">
        <v>59</v>
      </c>
      <c r="C268" s="1">
        <v>0</v>
      </c>
    </row>
    <row r="269" spans="1:3" x14ac:dyDescent="0.25">
      <c r="A269" s="1" t="s">
        <v>3</v>
      </c>
      <c r="B269" s="1" t="s">
        <v>59</v>
      </c>
      <c r="C269" s="1">
        <v>0</v>
      </c>
    </row>
    <row r="270" spans="1:3" x14ac:dyDescent="0.25">
      <c r="A270" s="1" t="s">
        <v>4</v>
      </c>
      <c r="B270" s="1" t="s">
        <v>59</v>
      </c>
      <c r="C270" s="1">
        <v>0</v>
      </c>
    </row>
    <row r="271" spans="1:3" x14ac:dyDescent="0.25">
      <c r="A271" s="1" t="s">
        <v>5</v>
      </c>
      <c r="B271" s="1" t="s">
        <v>59</v>
      </c>
      <c r="C271" s="1">
        <v>2.3289665211062599E-2</v>
      </c>
    </row>
    <row r="272" spans="1:3" x14ac:dyDescent="0.25">
      <c r="A272" s="1" t="s">
        <v>6</v>
      </c>
      <c r="B272" s="1" t="s">
        <v>59</v>
      </c>
      <c r="C272" s="1">
        <v>0.10521582733812899</v>
      </c>
    </row>
    <row r="273" spans="1:3" x14ac:dyDescent="0.25">
      <c r="A273" s="1" t="s">
        <v>7</v>
      </c>
      <c r="B273" s="1" t="s">
        <v>59</v>
      </c>
      <c r="C273" s="1">
        <v>0.17560975609756099</v>
      </c>
    </row>
    <row r="274" spans="1:3" x14ac:dyDescent="0.25">
      <c r="A274" s="1" t="s">
        <v>8</v>
      </c>
      <c r="B274" s="1" t="s">
        <v>59</v>
      </c>
      <c r="C274" s="1">
        <v>0.20577871740662401</v>
      </c>
    </row>
    <row r="275" spans="1:3" x14ac:dyDescent="0.25">
      <c r="A275" s="1" t="s">
        <v>9</v>
      </c>
      <c r="B275" s="1" t="s">
        <v>59</v>
      </c>
      <c r="C275" s="1">
        <v>0.22099805573558001</v>
      </c>
    </row>
    <row r="276" spans="1:3" x14ac:dyDescent="0.25">
      <c r="A276" s="1" t="s">
        <v>10</v>
      </c>
      <c r="B276" s="1" t="s">
        <v>59</v>
      </c>
      <c r="C276" s="1">
        <v>0.18977591036414601</v>
      </c>
    </row>
    <row r="277" spans="1:3" x14ac:dyDescent="0.25">
      <c r="A277" s="1" t="s">
        <v>11</v>
      </c>
      <c r="B277" s="1" t="s">
        <v>59</v>
      </c>
      <c r="C277" s="1">
        <v>0.19015509103169301</v>
      </c>
    </row>
    <row r="278" spans="1:3" x14ac:dyDescent="0.25">
      <c r="A278" s="1" t="s">
        <v>12</v>
      </c>
      <c r="B278" s="1" t="s">
        <v>59</v>
      </c>
      <c r="C278" s="1">
        <v>0.17762788083192799</v>
      </c>
    </row>
    <row r="279" spans="1:3" x14ac:dyDescent="0.25">
      <c r="A279" s="1" t="s">
        <v>13</v>
      </c>
      <c r="B279" s="1" t="s">
        <v>59</v>
      </c>
      <c r="C279" s="1">
        <v>0.167371885284438</v>
      </c>
    </row>
    <row r="280" spans="1:3" x14ac:dyDescent="0.25">
      <c r="A280" s="1" t="s">
        <v>14</v>
      </c>
      <c r="B280" s="1" t="s">
        <v>59</v>
      </c>
      <c r="C280" s="1">
        <v>0.13336229365768901</v>
      </c>
    </row>
    <row r="281" spans="1:3" x14ac:dyDescent="0.25">
      <c r="A281" s="1" t="s">
        <v>15</v>
      </c>
      <c r="B281" s="1" t="s">
        <v>59</v>
      </c>
      <c r="C281" s="1">
        <v>0.12142197599261299</v>
      </c>
    </row>
    <row r="282" spans="1:3" x14ac:dyDescent="0.25">
      <c r="A282" s="1" t="s">
        <v>16</v>
      </c>
      <c r="B282" s="1" t="s">
        <v>59</v>
      </c>
      <c r="C282" s="1">
        <v>9.79765708200213E-2</v>
      </c>
    </row>
    <row r="283" spans="1:3" x14ac:dyDescent="0.25">
      <c r="A283" s="1" t="s">
        <v>17</v>
      </c>
      <c r="B283" s="1" t="s">
        <v>59</v>
      </c>
      <c r="C283" s="1">
        <v>7.1065989847715699E-2</v>
      </c>
    </row>
    <row r="284" spans="1:3" x14ac:dyDescent="0.25">
      <c r="A284" s="1" t="s">
        <v>18</v>
      </c>
      <c r="B284" s="1" t="s">
        <v>59</v>
      </c>
      <c r="C284" s="1">
        <v>7.2901325478645099E-2</v>
      </c>
    </row>
    <row r="285" spans="1:3" x14ac:dyDescent="0.25">
      <c r="A285" s="1" t="s">
        <v>19</v>
      </c>
      <c r="B285" s="1" t="s">
        <v>59</v>
      </c>
      <c r="C285" s="1">
        <v>7.1052631578947395E-2</v>
      </c>
    </row>
    <row r="286" spans="1:3" x14ac:dyDescent="0.25">
      <c r="A286" s="1" t="s">
        <v>20</v>
      </c>
      <c r="B286" s="1" t="s">
        <v>59</v>
      </c>
      <c r="C286" s="1">
        <v>3.9497307001795302E-2</v>
      </c>
    </row>
    <row r="287" spans="1:3" x14ac:dyDescent="0.25">
      <c r="A287" s="1" t="s">
        <v>21</v>
      </c>
      <c r="B287" s="1" t="s">
        <v>59</v>
      </c>
      <c r="C287" s="1">
        <v>0</v>
      </c>
    </row>
    <row r="288" spans="1:3" x14ac:dyDescent="0.25">
      <c r="A288" s="1" t="s">
        <v>22</v>
      </c>
      <c r="B288" s="1" t="s">
        <v>59</v>
      </c>
      <c r="C288" s="1">
        <v>0</v>
      </c>
    </row>
    <row r="289" spans="1:3" x14ac:dyDescent="0.25">
      <c r="A289" s="1" t="s">
        <v>23</v>
      </c>
      <c r="B289" s="1" t="s">
        <v>59</v>
      </c>
      <c r="C289" s="1">
        <v>0</v>
      </c>
    </row>
    <row r="290" spans="1:3" x14ac:dyDescent="0.25">
      <c r="A290" s="1" t="s">
        <v>24</v>
      </c>
      <c r="B290" s="1" t="s">
        <v>59</v>
      </c>
      <c r="C290" s="1">
        <v>1.0135135135135099E-2</v>
      </c>
    </row>
    <row r="291" spans="1:3" x14ac:dyDescent="0.25">
      <c r="A291" s="1" t="s">
        <v>25</v>
      </c>
      <c r="B291" s="1" t="s">
        <v>59</v>
      </c>
      <c r="C291" s="1">
        <v>5.8726220016542603E-2</v>
      </c>
    </row>
    <row r="292" spans="1:3" x14ac:dyDescent="0.25">
      <c r="A292" s="1" t="s">
        <v>26</v>
      </c>
      <c r="B292" s="1" t="s">
        <v>59</v>
      </c>
      <c r="C292" s="1">
        <v>0.114790286975717</v>
      </c>
    </row>
    <row r="293" spans="1:3" x14ac:dyDescent="0.25">
      <c r="A293" s="1" t="s">
        <v>27</v>
      </c>
      <c r="B293" s="1" t="s">
        <v>59</v>
      </c>
      <c r="C293" s="1">
        <v>0.132176234979973</v>
      </c>
    </row>
    <row r="294" spans="1:3" x14ac:dyDescent="0.25">
      <c r="A294" s="1" t="s">
        <v>28</v>
      </c>
      <c r="B294" s="1" t="s">
        <v>59</v>
      </c>
      <c r="C294" s="1">
        <v>0.14107611548556401</v>
      </c>
    </row>
    <row r="295" spans="1:3" x14ac:dyDescent="0.25">
      <c r="A295" s="1" t="s">
        <v>29</v>
      </c>
      <c r="B295" s="1" t="s">
        <v>59</v>
      </c>
      <c r="C295" s="1">
        <v>0.13285714285714301</v>
      </c>
    </row>
    <row r="296" spans="1:3" x14ac:dyDescent="0.25">
      <c r="A296" s="1" t="s">
        <v>30</v>
      </c>
      <c r="B296" s="1" t="s">
        <v>59</v>
      </c>
      <c r="C296" s="1">
        <v>0.15616246498599401</v>
      </c>
    </row>
    <row r="297" spans="1:3" x14ac:dyDescent="0.25">
      <c r="A297" s="1" t="s">
        <v>31</v>
      </c>
      <c r="B297" s="1" t="s">
        <v>59</v>
      </c>
      <c r="C297" s="1">
        <v>0.116940581542351</v>
      </c>
    </row>
    <row r="298" spans="1:3" x14ac:dyDescent="0.25">
      <c r="A298" s="1" t="s">
        <v>32</v>
      </c>
      <c r="B298" s="1" t="s">
        <v>59</v>
      </c>
      <c r="C298" s="1">
        <v>0.118343195266272</v>
      </c>
    </row>
    <row r="299" spans="1:3" x14ac:dyDescent="0.25">
      <c r="A299" s="1" t="s">
        <v>33</v>
      </c>
      <c r="B299" s="1" t="s">
        <v>59</v>
      </c>
      <c r="C299" s="1">
        <v>9.4843462246777199E-2</v>
      </c>
    </row>
    <row r="300" spans="1:3" x14ac:dyDescent="0.25">
      <c r="A300" s="1" t="s">
        <v>34</v>
      </c>
      <c r="B300" s="1" t="s">
        <v>59</v>
      </c>
      <c r="C300" s="1">
        <v>7.57501229709788E-2</v>
      </c>
    </row>
    <row r="301" spans="1:3" x14ac:dyDescent="0.25">
      <c r="A301" s="1" t="s">
        <v>35</v>
      </c>
      <c r="B301" s="1" t="s">
        <v>59</v>
      </c>
      <c r="C301" s="1">
        <v>7.0975187536064605E-2</v>
      </c>
    </row>
    <row r="302" spans="1:3" x14ac:dyDescent="0.25">
      <c r="A302" s="1" t="s">
        <v>36</v>
      </c>
      <c r="B302" s="1" t="s">
        <v>59</v>
      </c>
      <c r="C302" s="1">
        <v>4.9572649572649598E-2</v>
      </c>
    </row>
    <row r="303" spans="1:3" x14ac:dyDescent="0.25">
      <c r="A303" s="1" t="s">
        <v>37</v>
      </c>
      <c r="B303" s="1" t="s">
        <v>59</v>
      </c>
      <c r="C303" s="1">
        <v>4.6902654867256602E-2</v>
      </c>
    </row>
    <row r="304" spans="1:3" x14ac:dyDescent="0.25">
      <c r="A304" s="1" t="s">
        <v>38</v>
      </c>
      <c r="B304" s="1" t="s">
        <v>59</v>
      </c>
      <c r="C304" s="1">
        <v>3.4768211920529798E-2</v>
      </c>
    </row>
    <row r="305" spans="1:3" x14ac:dyDescent="0.25">
      <c r="A305" s="1" t="s">
        <v>39</v>
      </c>
      <c r="B305" s="1" t="s">
        <v>59</v>
      </c>
      <c r="C305" s="1">
        <v>3.2362459546925598E-2</v>
      </c>
    </row>
    <row r="306" spans="1:3" x14ac:dyDescent="0.25">
      <c r="A306" s="1" t="s">
        <v>2</v>
      </c>
      <c r="B306" s="1" t="s">
        <v>60</v>
      </c>
      <c r="C306" s="1">
        <v>0</v>
      </c>
    </row>
    <row r="307" spans="1:3" x14ac:dyDescent="0.25">
      <c r="A307" s="1" t="s">
        <v>3</v>
      </c>
      <c r="B307" s="1" t="s">
        <v>60</v>
      </c>
      <c r="C307" s="1">
        <v>0</v>
      </c>
    </row>
    <row r="308" spans="1:3" x14ac:dyDescent="0.25">
      <c r="A308" s="1" t="s">
        <v>4</v>
      </c>
      <c r="B308" s="1" t="s">
        <v>60</v>
      </c>
      <c r="C308" s="1">
        <v>0</v>
      </c>
    </row>
    <row r="309" spans="1:3" x14ac:dyDescent="0.25">
      <c r="A309" s="1" t="s">
        <v>5</v>
      </c>
      <c r="B309" s="1" t="s">
        <v>60</v>
      </c>
      <c r="C309" s="1">
        <v>1.4556040756914101E-3</v>
      </c>
    </row>
    <row r="310" spans="1:3" x14ac:dyDescent="0.25">
      <c r="A310" s="1" t="s">
        <v>6</v>
      </c>
      <c r="B310" s="1" t="s">
        <v>60</v>
      </c>
      <c r="C310" s="1">
        <v>8.9928057553956796E-3</v>
      </c>
    </row>
    <row r="311" spans="1:3" x14ac:dyDescent="0.25">
      <c r="A311" s="1" t="s">
        <v>7</v>
      </c>
      <c r="B311" s="1" t="s">
        <v>60</v>
      </c>
      <c r="C311" s="1">
        <v>1.6260162601626001E-2</v>
      </c>
    </row>
    <row r="312" spans="1:3" x14ac:dyDescent="0.25">
      <c r="A312" s="1" t="s">
        <v>8</v>
      </c>
      <c r="B312" s="1" t="s">
        <v>60</v>
      </c>
      <c r="C312" s="1">
        <v>6.3424947145877403E-3</v>
      </c>
    </row>
    <row r="313" spans="1:3" x14ac:dyDescent="0.25">
      <c r="A313" s="1" t="s">
        <v>9</v>
      </c>
      <c r="B313" s="1" t="s">
        <v>60</v>
      </c>
      <c r="C313" s="1">
        <v>2.1386908619572299E-2</v>
      </c>
    </row>
    <row r="314" spans="1:3" x14ac:dyDescent="0.25">
      <c r="A314" s="1" t="s">
        <v>10</v>
      </c>
      <c r="B314" s="1" t="s">
        <v>60</v>
      </c>
      <c r="C314" s="1">
        <v>3.3613445378151301E-2</v>
      </c>
    </row>
    <row r="315" spans="1:3" x14ac:dyDescent="0.25">
      <c r="A315" s="1" t="s">
        <v>11</v>
      </c>
      <c r="B315" s="1" t="s">
        <v>60</v>
      </c>
      <c r="C315" s="1">
        <v>4.5178691840863101E-2</v>
      </c>
    </row>
    <row r="316" spans="1:3" x14ac:dyDescent="0.25">
      <c r="A316" s="1" t="s">
        <v>12</v>
      </c>
      <c r="B316" s="1" t="s">
        <v>60</v>
      </c>
      <c r="C316" s="1">
        <v>5.00281056773468E-2</v>
      </c>
    </row>
    <row r="317" spans="1:3" x14ac:dyDescent="0.25">
      <c r="A317" s="1" t="s">
        <v>13</v>
      </c>
      <c r="B317" s="1" t="s">
        <v>60</v>
      </c>
      <c r="C317" s="1">
        <v>5.9238363892806803E-2</v>
      </c>
    </row>
    <row r="318" spans="1:3" x14ac:dyDescent="0.25">
      <c r="A318" s="1" t="s">
        <v>14</v>
      </c>
      <c r="B318" s="1" t="s">
        <v>60</v>
      </c>
      <c r="C318" s="1">
        <v>8.0364900086881005E-2</v>
      </c>
    </row>
    <row r="319" spans="1:3" x14ac:dyDescent="0.25">
      <c r="A319" s="1" t="s">
        <v>15</v>
      </c>
      <c r="B319" s="1" t="s">
        <v>60</v>
      </c>
      <c r="C319" s="1">
        <v>9.60295475530933E-2</v>
      </c>
    </row>
    <row r="320" spans="1:3" x14ac:dyDescent="0.25">
      <c r="A320" s="1" t="s">
        <v>16</v>
      </c>
      <c r="B320" s="1" t="s">
        <v>60</v>
      </c>
      <c r="C320" s="1">
        <v>0.111288604898829</v>
      </c>
    </row>
    <row r="321" spans="1:3" x14ac:dyDescent="0.25">
      <c r="A321" s="1" t="s">
        <v>17</v>
      </c>
      <c r="B321" s="1" t="s">
        <v>60</v>
      </c>
      <c r="C321" s="1">
        <v>0.121319796954315</v>
      </c>
    </row>
    <row r="322" spans="1:3" x14ac:dyDescent="0.25">
      <c r="A322" s="1" t="s">
        <v>18</v>
      </c>
      <c r="B322" s="1" t="s">
        <v>60</v>
      </c>
      <c r="C322" s="1">
        <v>0.156848306332842</v>
      </c>
    </row>
    <row r="323" spans="1:3" x14ac:dyDescent="0.25">
      <c r="A323" s="1" t="s">
        <v>19</v>
      </c>
      <c r="B323" s="1" t="s">
        <v>60</v>
      </c>
      <c r="C323" s="1">
        <v>0.14736842105263201</v>
      </c>
    </row>
    <row r="324" spans="1:3" x14ac:dyDescent="0.25">
      <c r="A324" s="1" t="s">
        <v>20</v>
      </c>
      <c r="B324" s="1" t="s">
        <v>60</v>
      </c>
      <c r="C324" s="1">
        <v>0.141831238779174</v>
      </c>
    </row>
    <row r="325" spans="1:3" x14ac:dyDescent="0.25">
      <c r="A325" s="1" t="s">
        <v>21</v>
      </c>
      <c r="B325" s="1" t="s">
        <v>60</v>
      </c>
      <c r="C325" s="1">
        <v>0</v>
      </c>
    </row>
    <row r="326" spans="1:3" x14ac:dyDescent="0.25">
      <c r="A326" s="1" t="s">
        <v>22</v>
      </c>
      <c r="B326" s="1" t="s">
        <v>60</v>
      </c>
      <c r="C326" s="1">
        <v>0</v>
      </c>
    </row>
    <row r="327" spans="1:3" x14ac:dyDescent="0.25">
      <c r="A327" s="1" t="s">
        <v>23</v>
      </c>
      <c r="B327" s="1" t="s">
        <v>60</v>
      </c>
      <c r="C327" s="1">
        <v>0</v>
      </c>
    </row>
    <row r="328" spans="1:3" x14ac:dyDescent="0.25">
      <c r="A328" s="1" t="s">
        <v>24</v>
      </c>
      <c r="B328" s="1" t="s">
        <v>60</v>
      </c>
      <c r="C328" s="1">
        <v>2.0270270270270302E-3</v>
      </c>
    </row>
    <row r="329" spans="1:3" x14ac:dyDescent="0.25">
      <c r="A329" s="1" t="s">
        <v>25</v>
      </c>
      <c r="B329" s="1" t="s">
        <v>60</v>
      </c>
      <c r="C329" s="1">
        <v>4.96277915632754E-3</v>
      </c>
    </row>
    <row r="330" spans="1:3" x14ac:dyDescent="0.25">
      <c r="A330" s="1" t="s">
        <v>26</v>
      </c>
      <c r="B330" s="1" t="s">
        <v>60</v>
      </c>
      <c r="C330" s="1">
        <v>7.3583517292126598E-3</v>
      </c>
    </row>
    <row r="331" spans="1:3" x14ac:dyDescent="0.25">
      <c r="A331" s="1" t="s">
        <v>27</v>
      </c>
      <c r="B331" s="1" t="s">
        <v>60</v>
      </c>
      <c r="C331" s="1">
        <v>1.26835781041389E-2</v>
      </c>
    </row>
    <row r="332" spans="1:3" x14ac:dyDescent="0.25">
      <c r="A332" s="1" t="s">
        <v>28</v>
      </c>
      <c r="B332" s="1" t="s">
        <v>60</v>
      </c>
      <c r="C332" s="1">
        <v>2.16535433070866E-2</v>
      </c>
    </row>
    <row r="333" spans="1:3" x14ac:dyDescent="0.25">
      <c r="A333" s="1" t="s">
        <v>29</v>
      </c>
      <c r="B333" s="1" t="s">
        <v>60</v>
      </c>
      <c r="C333" s="1">
        <v>3.5000000000000003E-2</v>
      </c>
    </row>
    <row r="334" spans="1:3" x14ac:dyDescent="0.25">
      <c r="A334" s="1" t="s">
        <v>30</v>
      </c>
      <c r="B334" s="1" t="s">
        <v>60</v>
      </c>
      <c r="C334" s="1">
        <v>4.3417366946778703E-2</v>
      </c>
    </row>
    <row r="335" spans="1:3" x14ac:dyDescent="0.25">
      <c r="A335" s="1" t="s">
        <v>31</v>
      </c>
      <c r="B335" s="1" t="s">
        <v>60</v>
      </c>
      <c r="C335" s="1">
        <v>5.6890012642224999E-2</v>
      </c>
    </row>
    <row r="336" spans="1:3" x14ac:dyDescent="0.25">
      <c r="A336" s="1" t="s">
        <v>32</v>
      </c>
      <c r="B336" s="1" t="s">
        <v>60</v>
      </c>
      <c r="C336" s="1">
        <v>9.2702169625246494E-2</v>
      </c>
    </row>
    <row r="337" spans="1:3" x14ac:dyDescent="0.25">
      <c r="A337" s="1" t="s">
        <v>33</v>
      </c>
      <c r="B337" s="1" t="s">
        <v>60</v>
      </c>
      <c r="C337" s="1">
        <v>0.111418047882136</v>
      </c>
    </row>
    <row r="338" spans="1:3" x14ac:dyDescent="0.25">
      <c r="A338" s="1" t="s">
        <v>34</v>
      </c>
      <c r="B338" s="1" t="s">
        <v>60</v>
      </c>
      <c r="C338" s="1">
        <v>0.14018691588785001</v>
      </c>
    </row>
    <row r="339" spans="1:3" x14ac:dyDescent="0.25">
      <c r="A339" s="1" t="s">
        <v>35</v>
      </c>
      <c r="B339" s="1" t="s">
        <v>60</v>
      </c>
      <c r="C339" s="1">
        <v>0.17484131563762301</v>
      </c>
    </row>
    <row r="340" spans="1:3" x14ac:dyDescent="0.25">
      <c r="A340" s="1" t="s">
        <v>36</v>
      </c>
      <c r="B340" s="1" t="s">
        <v>60</v>
      </c>
      <c r="C340" s="1">
        <v>0.19544159544159501</v>
      </c>
    </row>
    <row r="341" spans="1:3" x14ac:dyDescent="0.25">
      <c r="A341" s="1" t="s">
        <v>37</v>
      </c>
      <c r="B341" s="1" t="s">
        <v>60</v>
      </c>
      <c r="C341" s="1">
        <v>0.18672566371681401</v>
      </c>
    </row>
    <row r="342" spans="1:3" x14ac:dyDescent="0.25">
      <c r="A342" s="1" t="s">
        <v>38</v>
      </c>
      <c r="B342" s="1" t="s">
        <v>60</v>
      </c>
      <c r="C342" s="1">
        <v>0.230132450331126</v>
      </c>
    </row>
    <row r="343" spans="1:3" x14ac:dyDescent="0.25">
      <c r="A343" s="1" t="s">
        <v>39</v>
      </c>
      <c r="B343" s="1" t="s">
        <v>60</v>
      </c>
      <c r="C343" s="1">
        <v>0.19093851132686099</v>
      </c>
    </row>
    <row r="344" spans="1:3" x14ac:dyDescent="0.25">
      <c r="A344" s="1" t="s">
        <v>2</v>
      </c>
      <c r="B344" s="1" t="s">
        <v>61</v>
      </c>
      <c r="C344" s="1">
        <v>0</v>
      </c>
    </row>
    <row r="345" spans="1:3" x14ac:dyDescent="0.25">
      <c r="A345" s="1" t="s">
        <v>3</v>
      </c>
      <c r="B345" s="1" t="s">
        <v>61</v>
      </c>
      <c r="C345" s="1">
        <v>0</v>
      </c>
    </row>
    <row r="346" spans="1:3" x14ac:dyDescent="0.25">
      <c r="A346" s="1" t="s">
        <v>4</v>
      </c>
      <c r="B346" s="1" t="s">
        <v>61</v>
      </c>
      <c r="C346" s="1">
        <v>0</v>
      </c>
    </row>
    <row r="347" spans="1:3" x14ac:dyDescent="0.25">
      <c r="A347" s="1" t="s">
        <v>5</v>
      </c>
      <c r="B347" s="1" t="s">
        <v>61</v>
      </c>
      <c r="C347" s="1">
        <v>2.18340611353712E-3</v>
      </c>
    </row>
    <row r="348" spans="1:3" x14ac:dyDescent="0.25">
      <c r="A348" s="1" t="s">
        <v>6</v>
      </c>
      <c r="B348" s="1" t="s">
        <v>61</v>
      </c>
      <c r="C348" s="1">
        <v>7.1942446043165497E-3</v>
      </c>
    </row>
    <row r="349" spans="1:3" x14ac:dyDescent="0.25">
      <c r="A349" s="1" t="s">
        <v>7</v>
      </c>
      <c r="B349" s="1" t="s">
        <v>61</v>
      </c>
      <c r="C349" s="1">
        <v>4.8780487804877997E-3</v>
      </c>
    </row>
    <row r="350" spans="1:3" x14ac:dyDescent="0.25">
      <c r="A350" s="1" t="s">
        <v>8</v>
      </c>
      <c r="B350" s="1" t="s">
        <v>61</v>
      </c>
      <c r="C350" s="1">
        <v>1.1980267794221299E-2</v>
      </c>
    </row>
    <row r="351" spans="1:3" x14ac:dyDescent="0.25">
      <c r="A351" s="1" t="s">
        <v>9</v>
      </c>
      <c r="B351" s="1" t="s">
        <v>61</v>
      </c>
      <c r="C351" s="1">
        <v>1.1017498379779601E-2</v>
      </c>
    </row>
    <row r="352" spans="1:3" x14ac:dyDescent="0.25">
      <c r="A352" s="1" t="s">
        <v>10</v>
      </c>
      <c r="B352" s="1" t="s">
        <v>61</v>
      </c>
      <c r="C352" s="1">
        <v>1.1904761904761901E-2</v>
      </c>
    </row>
    <row r="353" spans="1:3" x14ac:dyDescent="0.25">
      <c r="A353" s="1" t="s">
        <v>11</v>
      </c>
      <c r="B353" s="1" t="s">
        <v>61</v>
      </c>
      <c r="C353" s="1">
        <v>1.07889413351315E-2</v>
      </c>
    </row>
    <row r="354" spans="1:3" x14ac:dyDescent="0.25">
      <c r="A354" s="1" t="s">
        <v>12</v>
      </c>
      <c r="B354" s="1" t="s">
        <v>61</v>
      </c>
      <c r="C354" s="1">
        <v>1.0680157391793101E-2</v>
      </c>
    </row>
    <row r="355" spans="1:3" x14ac:dyDescent="0.25">
      <c r="A355" s="1" t="s">
        <v>13</v>
      </c>
      <c r="B355" s="1" t="s">
        <v>61</v>
      </c>
      <c r="C355" s="1">
        <v>9.4029149036201198E-3</v>
      </c>
    </row>
    <row r="356" spans="1:3" x14ac:dyDescent="0.25">
      <c r="A356" s="1" t="s">
        <v>14</v>
      </c>
      <c r="B356" s="1" t="s">
        <v>61</v>
      </c>
      <c r="C356" s="1">
        <v>1.3466550825369201E-2</v>
      </c>
    </row>
    <row r="357" spans="1:3" x14ac:dyDescent="0.25">
      <c r="A357" s="1" t="s">
        <v>15</v>
      </c>
      <c r="B357" s="1" t="s">
        <v>61</v>
      </c>
      <c r="C357" s="1">
        <v>8.3102493074792196E-3</v>
      </c>
    </row>
    <row r="358" spans="1:3" x14ac:dyDescent="0.25">
      <c r="A358" s="1" t="s">
        <v>16</v>
      </c>
      <c r="B358" s="1" t="s">
        <v>61</v>
      </c>
      <c r="C358" s="1">
        <v>5.8572949946751902E-3</v>
      </c>
    </row>
    <row r="359" spans="1:3" x14ac:dyDescent="0.25">
      <c r="A359" s="1" t="s">
        <v>17</v>
      </c>
      <c r="B359" s="1" t="s">
        <v>61</v>
      </c>
      <c r="C359" s="1">
        <v>1.06598984771574E-2</v>
      </c>
    </row>
    <row r="360" spans="1:3" x14ac:dyDescent="0.25">
      <c r="A360" s="1" t="s">
        <v>18</v>
      </c>
      <c r="B360" s="1" t="s">
        <v>61</v>
      </c>
      <c r="C360" s="1">
        <v>1.3254786450662699E-2</v>
      </c>
    </row>
    <row r="361" spans="1:3" x14ac:dyDescent="0.25">
      <c r="A361" s="1" t="s">
        <v>19</v>
      </c>
      <c r="B361" s="1" t="s">
        <v>61</v>
      </c>
      <c r="C361" s="1">
        <v>5.2631578947368403E-3</v>
      </c>
    </row>
    <row r="362" spans="1:3" x14ac:dyDescent="0.25">
      <c r="A362" s="1" t="s">
        <v>20</v>
      </c>
      <c r="B362" s="1" t="s">
        <v>61</v>
      </c>
      <c r="C362" s="1">
        <v>7.1813285457809697E-3</v>
      </c>
    </row>
    <row r="363" spans="1:3" x14ac:dyDescent="0.25">
      <c r="A363" s="1" t="s">
        <v>21</v>
      </c>
      <c r="B363" s="1" t="s">
        <v>61</v>
      </c>
      <c r="C363" s="1">
        <v>0</v>
      </c>
    </row>
    <row r="364" spans="1:3" x14ac:dyDescent="0.25">
      <c r="A364" s="1" t="s">
        <v>22</v>
      </c>
      <c r="B364" s="1" t="s">
        <v>61</v>
      </c>
      <c r="C364" s="1">
        <v>0</v>
      </c>
    </row>
    <row r="365" spans="1:3" x14ac:dyDescent="0.25">
      <c r="A365" s="1" t="s">
        <v>23</v>
      </c>
      <c r="B365" s="1" t="s">
        <v>61</v>
      </c>
      <c r="C365" s="1">
        <v>0</v>
      </c>
    </row>
    <row r="366" spans="1:3" x14ac:dyDescent="0.25">
      <c r="A366" s="1" t="s">
        <v>24</v>
      </c>
      <c r="B366" s="1" t="s">
        <v>61</v>
      </c>
      <c r="C366" s="1">
        <v>6.7567567567567604E-4</v>
      </c>
    </row>
    <row r="367" spans="1:3" x14ac:dyDescent="0.25">
      <c r="A367" s="1" t="s">
        <v>25</v>
      </c>
      <c r="B367" s="1" t="s">
        <v>61</v>
      </c>
      <c r="C367" s="1">
        <v>1.32340777502068E-2</v>
      </c>
    </row>
    <row r="368" spans="1:3" x14ac:dyDescent="0.25">
      <c r="A368" s="1" t="s">
        <v>26</v>
      </c>
      <c r="B368" s="1" t="s">
        <v>61</v>
      </c>
      <c r="C368" s="1">
        <v>1.2509197939661499E-2</v>
      </c>
    </row>
    <row r="369" spans="1:3" x14ac:dyDescent="0.25">
      <c r="A369" s="1" t="s">
        <v>27</v>
      </c>
      <c r="B369" s="1" t="s">
        <v>61</v>
      </c>
      <c r="C369" s="1">
        <v>9.3457943925233603E-3</v>
      </c>
    </row>
    <row r="370" spans="1:3" x14ac:dyDescent="0.25">
      <c r="A370" s="1" t="s">
        <v>28</v>
      </c>
      <c r="B370" s="1" t="s">
        <v>61</v>
      </c>
      <c r="C370" s="1">
        <v>9.8425196850393699E-3</v>
      </c>
    </row>
    <row r="371" spans="1:3" x14ac:dyDescent="0.25">
      <c r="A371" s="1" t="s">
        <v>29</v>
      </c>
      <c r="B371" s="1" t="s">
        <v>61</v>
      </c>
      <c r="C371" s="1">
        <v>8.5714285714285701E-3</v>
      </c>
    </row>
    <row r="372" spans="1:3" x14ac:dyDescent="0.25">
      <c r="A372" s="1" t="s">
        <v>30</v>
      </c>
      <c r="B372" s="1" t="s">
        <v>61</v>
      </c>
      <c r="C372" s="1">
        <v>1.33053221288515E-2</v>
      </c>
    </row>
    <row r="373" spans="1:3" x14ac:dyDescent="0.25">
      <c r="A373" s="1" t="s">
        <v>31</v>
      </c>
      <c r="B373" s="1" t="s">
        <v>61</v>
      </c>
      <c r="C373" s="1">
        <v>5.0568900126422298E-3</v>
      </c>
    </row>
    <row r="374" spans="1:3" x14ac:dyDescent="0.25">
      <c r="A374" s="1" t="s">
        <v>32</v>
      </c>
      <c r="B374" s="1" t="s">
        <v>61</v>
      </c>
      <c r="C374" s="1">
        <v>1.2327416173569999E-2</v>
      </c>
    </row>
    <row r="375" spans="1:3" x14ac:dyDescent="0.25">
      <c r="A375" s="1" t="s">
        <v>33</v>
      </c>
      <c r="B375" s="1" t="s">
        <v>61</v>
      </c>
      <c r="C375" s="1">
        <v>8.7476979742173097E-3</v>
      </c>
    </row>
    <row r="376" spans="1:3" x14ac:dyDescent="0.25">
      <c r="A376" s="1" t="s">
        <v>34</v>
      </c>
      <c r="B376" s="1" t="s">
        <v>61</v>
      </c>
      <c r="C376" s="1">
        <v>1.5248401377274999E-2</v>
      </c>
    </row>
    <row r="377" spans="1:3" x14ac:dyDescent="0.25">
      <c r="A377" s="1" t="s">
        <v>35</v>
      </c>
      <c r="B377" s="1" t="s">
        <v>61</v>
      </c>
      <c r="C377" s="1">
        <v>1.09636468551645E-2</v>
      </c>
    </row>
    <row r="378" spans="1:3" x14ac:dyDescent="0.25">
      <c r="A378" s="1" t="s">
        <v>36</v>
      </c>
      <c r="B378" s="1" t="s">
        <v>61</v>
      </c>
      <c r="C378" s="1">
        <v>1.02564102564103E-2</v>
      </c>
    </row>
    <row r="379" spans="1:3" x14ac:dyDescent="0.25">
      <c r="A379" s="1" t="s">
        <v>37</v>
      </c>
      <c r="B379" s="1" t="s">
        <v>61</v>
      </c>
      <c r="C379" s="1">
        <v>1.15044247787611E-2</v>
      </c>
    </row>
    <row r="380" spans="1:3" x14ac:dyDescent="0.25">
      <c r="A380" s="1" t="s">
        <v>38</v>
      </c>
      <c r="B380" s="1" t="s">
        <v>61</v>
      </c>
      <c r="C380" s="1">
        <v>4.9668874172185398E-3</v>
      </c>
    </row>
    <row r="381" spans="1:3" x14ac:dyDescent="0.25">
      <c r="A381" s="1" t="s">
        <v>39</v>
      </c>
      <c r="B381" s="1" t="s">
        <v>61</v>
      </c>
      <c r="C381" s="1">
        <v>1.94174757281553E-2</v>
      </c>
    </row>
    <row r="382" spans="1:3" x14ac:dyDescent="0.25">
      <c r="A382" s="1" t="s">
        <v>2</v>
      </c>
      <c r="B382" s="1" t="s">
        <v>49</v>
      </c>
      <c r="C382" s="1">
        <v>0</v>
      </c>
    </row>
    <row r="383" spans="1:3" x14ac:dyDescent="0.25">
      <c r="A383" s="1" t="s">
        <v>3</v>
      </c>
      <c r="B383" s="1" t="s">
        <v>49</v>
      </c>
      <c r="C383" s="1">
        <v>0</v>
      </c>
    </row>
    <row r="384" spans="1:3" x14ac:dyDescent="0.25">
      <c r="A384" s="1" t="s">
        <v>4</v>
      </c>
      <c r="B384" s="1" t="s">
        <v>49</v>
      </c>
      <c r="C384" s="1">
        <v>0</v>
      </c>
    </row>
    <row r="385" spans="1:3" x14ac:dyDescent="0.25">
      <c r="A385" s="1" t="s">
        <v>5</v>
      </c>
      <c r="B385" s="1" t="s">
        <v>49</v>
      </c>
      <c r="C385" s="1">
        <v>7.27802037845706E-4</v>
      </c>
    </row>
    <row r="386" spans="1:3" x14ac:dyDescent="0.25">
      <c r="A386" s="1" t="s">
        <v>6</v>
      </c>
      <c r="B386" s="1" t="s">
        <v>49</v>
      </c>
      <c r="C386" s="1">
        <v>0</v>
      </c>
    </row>
    <row r="387" spans="1:3" x14ac:dyDescent="0.25">
      <c r="A387" s="1" t="s">
        <v>7</v>
      </c>
      <c r="B387" s="1" t="s">
        <v>49</v>
      </c>
      <c r="C387" s="1">
        <v>0</v>
      </c>
    </row>
    <row r="388" spans="1:3" x14ac:dyDescent="0.25">
      <c r="A388" s="1" t="s">
        <v>8</v>
      </c>
      <c r="B388" s="1" t="s">
        <v>49</v>
      </c>
      <c r="C388" s="1">
        <v>7.0472163495419301E-4</v>
      </c>
    </row>
    <row r="389" spans="1:3" x14ac:dyDescent="0.25">
      <c r="A389" s="1" t="s">
        <v>9</v>
      </c>
      <c r="B389" s="1" t="s">
        <v>49</v>
      </c>
      <c r="C389" s="1">
        <v>1.29617627997408E-3</v>
      </c>
    </row>
    <row r="390" spans="1:3" x14ac:dyDescent="0.25">
      <c r="A390" s="1" t="s">
        <v>10</v>
      </c>
      <c r="B390" s="1" t="s">
        <v>49</v>
      </c>
      <c r="C390" s="1">
        <v>7.0028011204481804E-4</v>
      </c>
    </row>
    <row r="391" spans="1:3" x14ac:dyDescent="0.25">
      <c r="A391" s="1" t="s">
        <v>11</v>
      </c>
      <c r="B391" s="1" t="s">
        <v>49</v>
      </c>
      <c r="C391" s="1">
        <v>1.3486176668914399E-3</v>
      </c>
    </row>
    <row r="392" spans="1:3" x14ac:dyDescent="0.25">
      <c r="A392" s="1" t="s">
        <v>12</v>
      </c>
      <c r="B392" s="1" t="s">
        <v>49</v>
      </c>
      <c r="C392" s="1">
        <v>2.8105677346824099E-3</v>
      </c>
    </row>
    <row r="393" spans="1:3" x14ac:dyDescent="0.25">
      <c r="A393" s="1" t="s">
        <v>13</v>
      </c>
      <c r="B393" s="1" t="s">
        <v>49</v>
      </c>
      <c r="C393" s="1">
        <v>2.8208744710860401E-3</v>
      </c>
    </row>
    <row r="394" spans="1:3" x14ac:dyDescent="0.25">
      <c r="A394" s="1" t="s">
        <v>14</v>
      </c>
      <c r="B394" s="1" t="s">
        <v>49</v>
      </c>
      <c r="C394" s="1">
        <v>3.0408340573414398E-3</v>
      </c>
    </row>
    <row r="395" spans="1:3" x14ac:dyDescent="0.25">
      <c r="A395" s="1" t="s">
        <v>15</v>
      </c>
      <c r="B395" s="1" t="s">
        <v>49</v>
      </c>
      <c r="C395" s="1">
        <v>9.6952908587257594E-3</v>
      </c>
    </row>
    <row r="396" spans="1:3" x14ac:dyDescent="0.25">
      <c r="A396" s="1" t="s">
        <v>16</v>
      </c>
      <c r="B396" s="1" t="s">
        <v>49</v>
      </c>
      <c r="C396" s="1">
        <v>1.91693290734824E-2</v>
      </c>
    </row>
    <row r="397" spans="1:3" x14ac:dyDescent="0.25">
      <c r="A397" s="1" t="s">
        <v>17</v>
      </c>
      <c r="B397" s="1" t="s">
        <v>49</v>
      </c>
      <c r="C397" s="1">
        <v>2.69035532994924E-2</v>
      </c>
    </row>
    <row r="398" spans="1:3" x14ac:dyDescent="0.25">
      <c r="A398" s="1" t="s">
        <v>18</v>
      </c>
      <c r="B398" s="1" t="s">
        <v>49</v>
      </c>
      <c r="C398" s="1">
        <v>4.3446244477172297E-2</v>
      </c>
    </row>
    <row r="399" spans="1:3" x14ac:dyDescent="0.25">
      <c r="A399" s="1" t="s">
        <v>19</v>
      </c>
      <c r="B399" s="1" t="s">
        <v>49</v>
      </c>
      <c r="C399" s="1">
        <v>6.9736842105263194E-2</v>
      </c>
    </row>
    <row r="400" spans="1:3" x14ac:dyDescent="0.25">
      <c r="A400" s="1" t="s">
        <v>20</v>
      </c>
      <c r="B400" s="1" t="s">
        <v>49</v>
      </c>
      <c r="C400" s="1">
        <v>8.0789946140035901E-2</v>
      </c>
    </row>
    <row r="401" spans="1:3" x14ac:dyDescent="0.25">
      <c r="A401" s="1" t="s">
        <v>21</v>
      </c>
      <c r="B401" s="1" t="s">
        <v>49</v>
      </c>
      <c r="C401" s="1">
        <v>0</v>
      </c>
    </row>
    <row r="402" spans="1:3" x14ac:dyDescent="0.25">
      <c r="A402" s="1" t="s">
        <v>22</v>
      </c>
      <c r="B402" s="1" t="s">
        <v>49</v>
      </c>
      <c r="C402" s="1">
        <v>0</v>
      </c>
    </row>
    <row r="403" spans="1:3" x14ac:dyDescent="0.25">
      <c r="A403" s="1" t="s">
        <v>23</v>
      </c>
      <c r="B403" s="1" t="s">
        <v>49</v>
      </c>
      <c r="C403" s="1">
        <v>0</v>
      </c>
    </row>
    <row r="404" spans="1:3" x14ac:dyDescent="0.25">
      <c r="A404" s="1" t="s">
        <v>24</v>
      </c>
      <c r="B404" s="1" t="s">
        <v>49</v>
      </c>
      <c r="C404" s="1">
        <v>0</v>
      </c>
    </row>
    <row r="405" spans="1:3" x14ac:dyDescent="0.25">
      <c r="A405" s="1" t="s">
        <v>25</v>
      </c>
      <c r="B405" s="1" t="s">
        <v>49</v>
      </c>
      <c r="C405" s="1">
        <v>8.2712985938792401E-4</v>
      </c>
    </row>
    <row r="406" spans="1:3" x14ac:dyDescent="0.25">
      <c r="A406" s="1" t="s">
        <v>26</v>
      </c>
      <c r="B406" s="1" t="s">
        <v>49</v>
      </c>
      <c r="C406" s="1">
        <v>7.3583517292126596E-4</v>
      </c>
    </row>
    <row r="407" spans="1:3" x14ac:dyDescent="0.25">
      <c r="A407" s="1" t="s">
        <v>27</v>
      </c>
      <c r="B407" s="1" t="s">
        <v>49</v>
      </c>
      <c r="C407" s="1">
        <v>6.6755674232309701E-4</v>
      </c>
    </row>
    <row r="408" spans="1:3" x14ac:dyDescent="0.25">
      <c r="A408" s="1" t="s">
        <v>28</v>
      </c>
      <c r="B408" s="1" t="s">
        <v>49</v>
      </c>
      <c r="C408" s="1">
        <v>6.5616797900262499E-4</v>
      </c>
    </row>
    <row r="409" spans="1:3" x14ac:dyDescent="0.25">
      <c r="A409" s="1" t="s">
        <v>29</v>
      </c>
      <c r="B409" s="1" t="s">
        <v>49</v>
      </c>
      <c r="C409" s="1">
        <v>7.1428571428571396E-4</v>
      </c>
    </row>
    <row r="410" spans="1:3" x14ac:dyDescent="0.25">
      <c r="A410" s="1" t="s">
        <v>30</v>
      </c>
      <c r="B410" s="1" t="s">
        <v>49</v>
      </c>
      <c r="C410" s="1">
        <v>4.20168067226891E-3</v>
      </c>
    </row>
    <row r="411" spans="1:3" x14ac:dyDescent="0.25">
      <c r="A411" s="1" t="s">
        <v>31</v>
      </c>
      <c r="B411" s="1" t="s">
        <v>49</v>
      </c>
      <c r="C411" s="1">
        <v>5.0568900126422298E-3</v>
      </c>
    </row>
    <row r="412" spans="1:3" x14ac:dyDescent="0.25">
      <c r="A412" s="1" t="s">
        <v>32</v>
      </c>
      <c r="B412" s="1" t="s">
        <v>49</v>
      </c>
      <c r="C412" s="1">
        <v>9.8619329388560193E-3</v>
      </c>
    </row>
    <row r="413" spans="1:3" x14ac:dyDescent="0.25">
      <c r="A413" s="1" t="s">
        <v>33</v>
      </c>
      <c r="B413" s="1" t="s">
        <v>49</v>
      </c>
      <c r="C413" s="1">
        <v>1.7034990791896899E-2</v>
      </c>
    </row>
    <row r="414" spans="1:3" x14ac:dyDescent="0.25">
      <c r="A414" s="1" t="s">
        <v>34</v>
      </c>
      <c r="B414" s="1" t="s">
        <v>49</v>
      </c>
      <c r="C414" s="1">
        <v>2.36104279390064E-2</v>
      </c>
    </row>
    <row r="415" spans="1:3" x14ac:dyDescent="0.25">
      <c r="A415" s="1" t="s">
        <v>35</v>
      </c>
      <c r="B415" s="1" t="s">
        <v>49</v>
      </c>
      <c r="C415" s="1">
        <v>4.0969417195614498E-2</v>
      </c>
    </row>
    <row r="416" spans="1:3" x14ac:dyDescent="0.25">
      <c r="A416" s="1" t="s">
        <v>36</v>
      </c>
      <c r="B416" s="1" t="s">
        <v>49</v>
      </c>
      <c r="C416" s="1">
        <v>4.7863247863247901E-2</v>
      </c>
    </row>
    <row r="417" spans="1:3" x14ac:dyDescent="0.25">
      <c r="A417" s="1" t="s">
        <v>37</v>
      </c>
      <c r="B417" s="1" t="s">
        <v>49</v>
      </c>
      <c r="C417" s="1">
        <v>7.6991150442477896E-2</v>
      </c>
    </row>
    <row r="418" spans="1:3" x14ac:dyDescent="0.25">
      <c r="A418" s="1" t="s">
        <v>38</v>
      </c>
      <c r="B418" s="1" t="s">
        <v>49</v>
      </c>
      <c r="C418" s="1">
        <v>0.139072847682119</v>
      </c>
    </row>
    <row r="419" spans="1:3" x14ac:dyDescent="0.25">
      <c r="A419" s="1" t="s">
        <v>39</v>
      </c>
      <c r="B419" s="1" t="s">
        <v>49</v>
      </c>
      <c r="C419" s="1">
        <v>0.103559870550162</v>
      </c>
    </row>
    <row r="420" spans="1:3" x14ac:dyDescent="0.25">
      <c r="A420" s="1" t="s">
        <v>2</v>
      </c>
      <c r="B420" s="1" t="s">
        <v>50</v>
      </c>
      <c r="C420" s="1">
        <v>0</v>
      </c>
    </row>
    <row r="421" spans="1:3" x14ac:dyDescent="0.25">
      <c r="A421" s="1" t="s">
        <v>3</v>
      </c>
      <c r="B421" s="1" t="s">
        <v>50</v>
      </c>
      <c r="C421" s="1">
        <v>0</v>
      </c>
    </row>
    <row r="422" spans="1:3" x14ac:dyDescent="0.25">
      <c r="A422" s="1" t="s">
        <v>4</v>
      </c>
      <c r="B422" s="1" t="s">
        <v>50</v>
      </c>
      <c r="C422" s="1">
        <v>0</v>
      </c>
    </row>
    <row r="423" spans="1:3" x14ac:dyDescent="0.25">
      <c r="A423" s="1" t="s">
        <v>5</v>
      </c>
      <c r="B423" s="1" t="s">
        <v>50</v>
      </c>
      <c r="C423" s="1">
        <v>1.4556040756914101E-3</v>
      </c>
    </row>
    <row r="424" spans="1:3" x14ac:dyDescent="0.25">
      <c r="A424" s="1" t="s">
        <v>6</v>
      </c>
      <c r="B424" s="1" t="s">
        <v>50</v>
      </c>
      <c r="C424" s="1">
        <v>8.9928057553956796E-4</v>
      </c>
    </row>
    <row r="425" spans="1:3" x14ac:dyDescent="0.25">
      <c r="A425" s="1" t="s">
        <v>7</v>
      </c>
      <c r="B425" s="1" t="s">
        <v>50</v>
      </c>
      <c r="C425" s="1">
        <v>9.7560975609756097E-3</v>
      </c>
    </row>
    <row r="426" spans="1:3" x14ac:dyDescent="0.25">
      <c r="A426" s="1" t="s">
        <v>8</v>
      </c>
      <c r="B426" s="1" t="s">
        <v>50</v>
      </c>
      <c r="C426" s="1">
        <v>1.4094432699083901E-2</v>
      </c>
    </row>
    <row r="427" spans="1:3" x14ac:dyDescent="0.25">
      <c r="A427" s="1" t="s">
        <v>9</v>
      </c>
      <c r="B427" s="1" t="s">
        <v>50</v>
      </c>
      <c r="C427" s="1">
        <v>1.6850291639663E-2</v>
      </c>
    </row>
    <row r="428" spans="1:3" x14ac:dyDescent="0.25">
      <c r="A428" s="1" t="s">
        <v>10</v>
      </c>
      <c r="B428" s="1" t="s">
        <v>50</v>
      </c>
      <c r="C428" s="1">
        <v>4.6218487394957999E-2</v>
      </c>
    </row>
    <row r="429" spans="1:3" x14ac:dyDescent="0.25">
      <c r="A429" s="1" t="s">
        <v>11</v>
      </c>
      <c r="B429" s="1" t="s">
        <v>50</v>
      </c>
      <c r="C429" s="1">
        <v>6.6756574511126099E-2</v>
      </c>
    </row>
    <row r="430" spans="1:3" x14ac:dyDescent="0.25">
      <c r="A430" s="1" t="s">
        <v>12</v>
      </c>
      <c r="B430" s="1" t="s">
        <v>50</v>
      </c>
      <c r="C430" s="1">
        <v>0.11467116357504201</v>
      </c>
    </row>
    <row r="431" spans="1:3" x14ac:dyDescent="0.25">
      <c r="A431" s="1" t="s">
        <v>13</v>
      </c>
      <c r="B431" s="1" t="s">
        <v>50</v>
      </c>
      <c r="C431" s="1">
        <v>0.165021156558533</v>
      </c>
    </row>
    <row r="432" spans="1:3" x14ac:dyDescent="0.25">
      <c r="A432" s="1" t="s">
        <v>14</v>
      </c>
      <c r="B432" s="1" t="s">
        <v>50</v>
      </c>
      <c r="C432" s="1">
        <v>0.23457862728062601</v>
      </c>
    </row>
    <row r="433" spans="1:3" x14ac:dyDescent="0.25">
      <c r="A433" s="1" t="s">
        <v>15</v>
      </c>
      <c r="B433" s="1" t="s">
        <v>50</v>
      </c>
      <c r="C433" s="1">
        <v>0.293167128347184</v>
      </c>
    </row>
    <row r="434" spans="1:3" x14ac:dyDescent="0.25">
      <c r="A434" s="1" t="s">
        <v>16</v>
      </c>
      <c r="B434" s="1" t="s">
        <v>50</v>
      </c>
      <c r="C434" s="1">
        <v>0.38924387646432401</v>
      </c>
    </row>
    <row r="435" spans="1:3" x14ac:dyDescent="0.25">
      <c r="A435" s="1" t="s">
        <v>17</v>
      </c>
      <c r="B435" s="1" t="s">
        <v>50</v>
      </c>
      <c r="C435" s="1">
        <v>0.474111675126904</v>
      </c>
    </row>
    <row r="436" spans="1:3" x14ac:dyDescent="0.25">
      <c r="A436" s="1" t="s">
        <v>18</v>
      </c>
      <c r="B436" s="1" t="s">
        <v>50</v>
      </c>
      <c r="C436" s="1">
        <v>0.55375552282768803</v>
      </c>
    </row>
    <row r="437" spans="1:3" x14ac:dyDescent="0.25">
      <c r="A437" s="1" t="s">
        <v>19</v>
      </c>
      <c r="B437" s="1" t="s">
        <v>50</v>
      </c>
      <c r="C437" s="1">
        <v>0.61447368421052595</v>
      </c>
    </row>
    <row r="438" spans="1:3" x14ac:dyDescent="0.25">
      <c r="A438" s="1" t="s">
        <v>20</v>
      </c>
      <c r="B438" s="1" t="s">
        <v>50</v>
      </c>
      <c r="C438" s="1">
        <v>0.63016157989228005</v>
      </c>
    </row>
    <row r="439" spans="1:3" x14ac:dyDescent="0.25">
      <c r="A439" s="1" t="s">
        <v>21</v>
      </c>
      <c r="B439" s="1" t="s">
        <v>50</v>
      </c>
      <c r="C439" s="1">
        <v>0</v>
      </c>
    </row>
    <row r="440" spans="1:3" x14ac:dyDescent="0.25">
      <c r="A440" s="1" t="s">
        <v>22</v>
      </c>
      <c r="B440" s="1" t="s">
        <v>50</v>
      </c>
      <c r="C440" s="1">
        <v>0</v>
      </c>
    </row>
    <row r="441" spans="1:3" x14ac:dyDescent="0.25">
      <c r="A441" s="1" t="s">
        <v>23</v>
      </c>
      <c r="B441" s="1" t="s">
        <v>50</v>
      </c>
      <c r="C441" s="1">
        <v>6.3816209317166597E-4</v>
      </c>
    </row>
    <row r="442" spans="1:3" x14ac:dyDescent="0.25">
      <c r="A442" s="1" t="s">
        <v>24</v>
      </c>
      <c r="B442" s="1" t="s">
        <v>50</v>
      </c>
      <c r="C442" s="1">
        <v>2.0270270270270302E-3</v>
      </c>
    </row>
    <row r="443" spans="1:3" x14ac:dyDescent="0.25">
      <c r="A443" s="1" t="s">
        <v>25</v>
      </c>
      <c r="B443" s="1" t="s">
        <v>50</v>
      </c>
      <c r="C443" s="1">
        <v>1.65425971877585E-3</v>
      </c>
    </row>
    <row r="444" spans="1:3" x14ac:dyDescent="0.25">
      <c r="A444" s="1" t="s">
        <v>26</v>
      </c>
      <c r="B444" s="1" t="s">
        <v>50</v>
      </c>
      <c r="C444" s="1">
        <v>6.6225165562913899E-3</v>
      </c>
    </row>
    <row r="445" spans="1:3" x14ac:dyDescent="0.25">
      <c r="A445" s="1" t="s">
        <v>27</v>
      </c>
      <c r="B445" s="1" t="s">
        <v>50</v>
      </c>
      <c r="C445" s="1">
        <v>1.6688918558077401E-2</v>
      </c>
    </row>
    <row r="446" spans="1:3" x14ac:dyDescent="0.25">
      <c r="A446" s="1" t="s">
        <v>28</v>
      </c>
      <c r="B446" s="1" t="s">
        <v>50</v>
      </c>
      <c r="C446" s="1">
        <v>2.55905511811024E-2</v>
      </c>
    </row>
    <row r="447" spans="1:3" x14ac:dyDescent="0.25">
      <c r="A447" s="1" t="s">
        <v>29</v>
      </c>
      <c r="B447" s="1" t="s">
        <v>50</v>
      </c>
      <c r="C447" s="1">
        <v>5.2857142857142901E-2</v>
      </c>
    </row>
    <row r="448" spans="1:3" x14ac:dyDescent="0.25">
      <c r="A448" s="1" t="s">
        <v>30</v>
      </c>
      <c r="B448" s="1" t="s">
        <v>50</v>
      </c>
      <c r="C448" s="1">
        <v>9.0336134453781497E-2</v>
      </c>
    </row>
    <row r="449" spans="1:3" x14ac:dyDescent="0.25">
      <c r="A449" s="1" t="s">
        <v>31</v>
      </c>
      <c r="B449" s="1" t="s">
        <v>50</v>
      </c>
      <c r="C449" s="1">
        <v>0.139696586599241</v>
      </c>
    </row>
    <row r="450" spans="1:3" x14ac:dyDescent="0.25">
      <c r="A450" s="1" t="s">
        <v>32</v>
      </c>
      <c r="B450" s="1" t="s">
        <v>50</v>
      </c>
      <c r="C450" s="1">
        <v>0.21104536489151901</v>
      </c>
    </row>
    <row r="451" spans="1:3" x14ac:dyDescent="0.25">
      <c r="A451" s="1" t="s">
        <v>33</v>
      </c>
      <c r="B451" s="1" t="s">
        <v>50</v>
      </c>
      <c r="C451" s="1">
        <v>0.27255985267034999</v>
      </c>
    </row>
    <row r="452" spans="1:3" x14ac:dyDescent="0.25">
      <c r="A452" s="1" t="s">
        <v>34</v>
      </c>
      <c r="B452" s="1" t="s">
        <v>50</v>
      </c>
      <c r="C452" s="1">
        <v>0.35464830300049199</v>
      </c>
    </row>
    <row r="453" spans="1:3" x14ac:dyDescent="0.25">
      <c r="A453" s="1" t="s">
        <v>35</v>
      </c>
      <c r="B453" s="1" t="s">
        <v>50</v>
      </c>
      <c r="C453" s="1">
        <v>0.42700519330640502</v>
      </c>
    </row>
    <row r="454" spans="1:3" x14ac:dyDescent="0.25">
      <c r="A454" s="1" t="s">
        <v>36</v>
      </c>
      <c r="B454" s="1" t="s">
        <v>50</v>
      </c>
      <c r="C454" s="1">
        <v>0.50085470085470096</v>
      </c>
    </row>
    <row r="455" spans="1:3" x14ac:dyDescent="0.25">
      <c r="A455" s="1" t="s">
        <v>37</v>
      </c>
      <c r="B455" s="1" t="s">
        <v>50</v>
      </c>
      <c r="C455" s="1">
        <v>0.5</v>
      </c>
    </row>
    <row r="456" spans="1:3" x14ac:dyDescent="0.25">
      <c r="A456" s="1" t="s">
        <v>38</v>
      </c>
      <c r="B456" s="1" t="s">
        <v>50</v>
      </c>
      <c r="C456" s="1">
        <v>0.53476821192053003</v>
      </c>
    </row>
    <row r="457" spans="1:3" x14ac:dyDescent="0.25">
      <c r="A457" s="1" t="s">
        <v>39</v>
      </c>
      <c r="B457" s="1" t="s">
        <v>50</v>
      </c>
      <c r="C457" s="1">
        <v>0.54692556634304201</v>
      </c>
    </row>
    <row r="458" spans="1:3" x14ac:dyDescent="0.25">
      <c r="A458" s="1" t="s">
        <v>2</v>
      </c>
      <c r="B458" s="1" t="s">
        <v>62</v>
      </c>
      <c r="C458" s="1">
        <v>1.94174757281553E-3</v>
      </c>
    </row>
    <row r="459" spans="1:3" x14ac:dyDescent="0.25">
      <c r="A459" s="1" t="s">
        <v>3</v>
      </c>
      <c r="B459" s="1" t="s">
        <v>62</v>
      </c>
      <c r="C459" s="1">
        <v>1.7346053772766699E-3</v>
      </c>
    </row>
    <row r="460" spans="1:3" x14ac:dyDescent="0.25">
      <c r="A460" s="1" t="s">
        <v>4</v>
      </c>
      <c r="B460" s="1" t="s">
        <v>62</v>
      </c>
      <c r="C460" s="1">
        <v>2.1216407355021199E-3</v>
      </c>
    </row>
    <row r="461" spans="1:3" x14ac:dyDescent="0.25">
      <c r="A461" s="1" t="s">
        <v>5</v>
      </c>
      <c r="B461" s="1" t="s">
        <v>62</v>
      </c>
      <c r="C461" s="1">
        <v>1.4556040756914101E-3</v>
      </c>
    </row>
    <row r="462" spans="1:3" x14ac:dyDescent="0.25">
      <c r="A462" s="1" t="s">
        <v>6</v>
      </c>
      <c r="B462" s="1" t="s">
        <v>62</v>
      </c>
      <c r="C462" s="1">
        <v>1.6187050359712199E-2</v>
      </c>
    </row>
    <row r="463" spans="1:3" x14ac:dyDescent="0.25">
      <c r="A463" s="1" t="s">
        <v>7</v>
      </c>
      <c r="B463" s="1" t="s">
        <v>62</v>
      </c>
      <c r="C463" s="1">
        <v>1.46341463414634E-2</v>
      </c>
    </row>
    <row r="464" spans="1:3" x14ac:dyDescent="0.25">
      <c r="A464" s="1" t="s">
        <v>8</v>
      </c>
      <c r="B464" s="1" t="s">
        <v>62</v>
      </c>
      <c r="C464" s="1">
        <v>1.33897110641297E-2</v>
      </c>
    </row>
    <row r="465" spans="1:3" x14ac:dyDescent="0.25">
      <c r="A465" s="1" t="s">
        <v>9</v>
      </c>
      <c r="B465" s="1" t="s">
        <v>62</v>
      </c>
      <c r="C465" s="1">
        <v>1.1665586519766701E-2</v>
      </c>
    </row>
    <row r="466" spans="1:3" x14ac:dyDescent="0.25">
      <c r="A466" s="1" t="s">
        <v>10</v>
      </c>
      <c r="B466" s="1" t="s">
        <v>62</v>
      </c>
      <c r="C466" s="1">
        <v>7.0028011204481804E-3</v>
      </c>
    </row>
    <row r="467" spans="1:3" x14ac:dyDescent="0.25">
      <c r="A467" s="1" t="s">
        <v>11</v>
      </c>
      <c r="B467" s="1" t="s">
        <v>62</v>
      </c>
      <c r="C467" s="1">
        <v>1.0114632501685801E-2</v>
      </c>
    </row>
    <row r="468" spans="1:3" x14ac:dyDescent="0.25">
      <c r="A468" s="1" t="s">
        <v>12</v>
      </c>
      <c r="B468" s="1" t="s">
        <v>62</v>
      </c>
      <c r="C468" s="1">
        <v>5.0590219224283303E-3</v>
      </c>
    </row>
    <row r="469" spans="1:3" x14ac:dyDescent="0.25">
      <c r="A469" s="1" t="s">
        <v>13</v>
      </c>
      <c r="B469" s="1" t="s">
        <v>62</v>
      </c>
      <c r="C469" s="1">
        <v>7.9924776680771002E-3</v>
      </c>
    </row>
    <row r="470" spans="1:3" x14ac:dyDescent="0.25">
      <c r="A470" s="1" t="s">
        <v>14</v>
      </c>
      <c r="B470" s="1" t="s">
        <v>62</v>
      </c>
      <c r="C470" s="1">
        <v>3.4752389226759299E-3</v>
      </c>
    </row>
    <row r="471" spans="1:3" x14ac:dyDescent="0.25">
      <c r="A471" s="1" t="s">
        <v>15</v>
      </c>
      <c r="B471" s="1" t="s">
        <v>62</v>
      </c>
      <c r="C471" s="1">
        <v>3.23176361957525E-3</v>
      </c>
    </row>
    <row r="472" spans="1:3" x14ac:dyDescent="0.25">
      <c r="A472" s="1" t="s">
        <v>16</v>
      </c>
      <c r="B472" s="1" t="s">
        <v>62</v>
      </c>
      <c r="C472" s="1">
        <v>4.2598509052183204E-3</v>
      </c>
    </row>
    <row r="473" spans="1:3" x14ac:dyDescent="0.25">
      <c r="A473" s="1" t="s">
        <v>17</v>
      </c>
      <c r="B473" s="1" t="s">
        <v>62</v>
      </c>
      <c r="C473" s="1">
        <v>1.5228426395939099E-3</v>
      </c>
    </row>
    <row r="474" spans="1:3" x14ac:dyDescent="0.25">
      <c r="A474" s="1" t="s">
        <v>18</v>
      </c>
      <c r="B474" s="1" t="s">
        <v>62</v>
      </c>
      <c r="C474" s="1">
        <v>1.4727540500736401E-3</v>
      </c>
    </row>
    <row r="475" spans="1:3" x14ac:dyDescent="0.25">
      <c r="A475" s="1" t="s">
        <v>19</v>
      </c>
      <c r="B475" s="1" t="s">
        <v>62</v>
      </c>
      <c r="C475" s="1">
        <v>0</v>
      </c>
    </row>
    <row r="476" spans="1:3" x14ac:dyDescent="0.25">
      <c r="A476" s="1" t="s">
        <v>20</v>
      </c>
      <c r="B476" s="1" t="s">
        <v>62</v>
      </c>
      <c r="C476" s="1">
        <v>0</v>
      </c>
    </row>
    <row r="477" spans="1:3" x14ac:dyDescent="0.25">
      <c r="A477" s="1" t="s">
        <v>21</v>
      </c>
      <c r="B477" s="1" t="s">
        <v>62</v>
      </c>
      <c r="C477" s="1">
        <v>2.0222446916076798E-3</v>
      </c>
    </row>
    <row r="478" spans="1:3" x14ac:dyDescent="0.25">
      <c r="A478" s="1" t="s">
        <v>22</v>
      </c>
      <c r="B478" s="1" t="s">
        <v>62</v>
      </c>
      <c r="C478" s="1">
        <v>1.59872102318145E-3</v>
      </c>
    </row>
    <row r="479" spans="1:3" x14ac:dyDescent="0.25">
      <c r="A479" s="1" t="s">
        <v>23</v>
      </c>
      <c r="B479" s="1" t="s">
        <v>62</v>
      </c>
      <c r="C479" s="1">
        <v>3.1908104658583299E-3</v>
      </c>
    </row>
    <row r="480" spans="1:3" x14ac:dyDescent="0.25">
      <c r="A480" s="1" t="s">
        <v>24</v>
      </c>
      <c r="B480" s="1" t="s">
        <v>62</v>
      </c>
      <c r="C480" s="1">
        <v>6.0810810810810797E-3</v>
      </c>
    </row>
    <row r="481" spans="1:3" x14ac:dyDescent="0.25">
      <c r="A481" s="1" t="s">
        <v>25</v>
      </c>
      <c r="B481" s="1" t="s">
        <v>62</v>
      </c>
      <c r="C481" s="1">
        <v>2.3986765922249801E-2</v>
      </c>
    </row>
    <row r="482" spans="1:3" x14ac:dyDescent="0.25">
      <c r="A482" s="1" t="s">
        <v>26</v>
      </c>
      <c r="B482" s="1" t="s">
        <v>62</v>
      </c>
      <c r="C482" s="1">
        <v>2.2810890360559201E-2</v>
      </c>
    </row>
    <row r="483" spans="1:3" x14ac:dyDescent="0.25">
      <c r="A483" s="1" t="s">
        <v>27</v>
      </c>
      <c r="B483" s="1" t="s">
        <v>62</v>
      </c>
      <c r="C483" s="1">
        <v>2.33644859813084E-2</v>
      </c>
    </row>
    <row r="484" spans="1:3" x14ac:dyDescent="0.25">
      <c r="A484" s="1" t="s">
        <v>28</v>
      </c>
      <c r="B484" s="1" t="s">
        <v>62</v>
      </c>
      <c r="C484" s="1">
        <v>1.4435695538057699E-2</v>
      </c>
    </row>
    <row r="485" spans="1:3" x14ac:dyDescent="0.25">
      <c r="A485" s="1" t="s">
        <v>29</v>
      </c>
      <c r="B485" s="1" t="s">
        <v>62</v>
      </c>
      <c r="C485" s="1">
        <v>6.4285714285714302E-3</v>
      </c>
    </row>
    <row r="486" spans="1:3" x14ac:dyDescent="0.25">
      <c r="A486" s="1" t="s">
        <v>30</v>
      </c>
      <c r="B486" s="1" t="s">
        <v>62</v>
      </c>
      <c r="C486" s="1">
        <v>1.0504201680672299E-2</v>
      </c>
    </row>
    <row r="487" spans="1:3" x14ac:dyDescent="0.25">
      <c r="A487" s="1" t="s">
        <v>31</v>
      </c>
      <c r="B487" s="1" t="s">
        <v>62</v>
      </c>
      <c r="C487" s="1">
        <v>6.3211125158027801E-3</v>
      </c>
    </row>
    <row r="488" spans="1:3" x14ac:dyDescent="0.25">
      <c r="A488" s="1" t="s">
        <v>32</v>
      </c>
      <c r="B488" s="1" t="s">
        <v>62</v>
      </c>
      <c r="C488" s="1">
        <v>8.3826429980276094E-3</v>
      </c>
    </row>
    <row r="489" spans="1:3" x14ac:dyDescent="0.25">
      <c r="A489" s="1" t="s">
        <v>33</v>
      </c>
      <c r="B489" s="1" t="s">
        <v>62</v>
      </c>
      <c r="C489" s="1">
        <v>6.9060773480662998E-3</v>
      </c>
    </row>
    <row r="490" spans="1:3" x14ac:dyDescent="0.25">
      <c r="A490" s="1" t="s">
        <v>34</v>
      </c>
      <c r="B490" s="1" t="s">
        <v>62</v>
      </c>
      <c r="C490" s="1">
        <v>2.9513034923758E-3</v>
      </c>
    </row>
    <row r="491" spans="1:3" x14ac:dyDescent="0.25">
      <c r="A491" s="1" t="s">
        <v>35</v>
      </c>
      <c r="B491" s="1" t="s">
        <v>62</v>
      </c>
      <c r="C491" s="1">
        <v>2.8851702250432799E-3</v>
      </c>
    </row>
    <row r="492" spans="1:3" x14ac:dyDescent="0.25">
      <c r="A492" s="1" t="s">
        <v>36</v>
      </c>
      <c r="B492" s="1" t="s">
        <v>62</v>
      </c>
      <c r="C492" s="1">
        <v>2.84900284900285E-3</v>
      </c>
    </row>
    <row r="493" spans="1:3" x14ac:dyDescent="0.25">
      <c r="A493" s="1" t="s">
        <v>37</v>
      </c>
      <c r="B493" s="1" t="s">
        <v>62</v>
      </c>
      <c r="C493" s="1">
        <v>0</v>
      </c>
    </row>
    <row r="494" spans="1:3" x14ac:dyDescent="0.25">
      <c r="A494" s="1" t="s">
        <v>38</v>
      </c>
      <c r="B494" s="1" t="s">
        <v>62</v>
      </c>
      <c r="C494" s="1">
        <v>1.6556291390728501E-3</v>
      </c>
    </row>
    <row r="495" spans="1:3" x14ac:dyDescent="0.25">
      <c r="A495" s="1" t="s">
        <v>39</v>
      </c>
      <c r="B495" s="1" t="s">
        <v>62</v>
      </c>
      <c r="C495" s="1">
        <v>0</v>
      </c>
    </row>
    <row r="496" spans="1:3" x14ac:dyDescent="0.25">
      <c r="A496" s="1" t="s">
        <v>2</v>
      </c>
      <c r="B496" s="1" t="s">
        <v>63</v>
      </c>
      <c r="C496" s="1">
        <v>0</v>
      </c>
    </row>
    <row r="497" spans="1:3" x14ac:dyDescent="0.25">
      <c r="A497" s="1" t="s">
        <v>3</v>
      </c>
      <c r="B497" s="1" t="s">
        <v>63</v>
      </c>
      <c r="C497" s="1">
        <v>0</v>
      </c>
    </row>
    <row r="498" spans="1:3" x14ac:dyDescent="0.25">
      <c r="A498" s="1" t="s">
        <v>4</v>
      </c>
      <c r="B498" s="1" t="s">
        <v>63</v>
      </c>
      <c r="C498" s="1">
        <v>0</v>
      </c>
    </row>
    <row r="499" spans="1:3" x14ac:dyDescent="0.25">
      <c r="A499" s="1" t="s">
        <v>5</v>
      </c>
      <c r="B499" s="1" t="s">
        <v>63</v>
      </c>
      <c r="C499" s="1">
        <v>7.27802037845706E-4</v>
      </c>
    </row>
    <row r="500" spans="1:3" x14ac:dyDescent="0.25">
      <c r="A500" s="1" t="s">
        <v>6</v>
      </c>
      <c r="B500" s="1" t="s">
        <v>63</v>
      </c>
      <c r="C500" s="1">
        <v>5.3956834532374104E-3</v>
      </c>
    </row>
    <row r="501" spans="1:3" x14ac:dyDescent="0.25">
      <c r="A501" s="1" t="s">
        <v>7</v>
      </c>
      <c r="B501" s="1" t="s">
        <v>63</v>
      </c>
      <c r="C501" s="1">
        <v>1.13821138211382E-2</v>
      </c>
    </row>
    <row r="502" spans="1:3" x14ac:dyDescent="0.25">
      <c r="A502" s="1" t="s">
        <v>8</v>
      </c>
      <c r="B502" s="1" t="s">
        <v>63</v>
      </c>
      <c r="C502" s="1">
        <v>1.4094432699083901E-2</v>
      </c>
    </row>
    <row r="503" spans="1:3" x14ac:dyDescent="0.25">
      <c r="A503" s="1" t="s">
        <v>9</v>
      </c>
      <c r="B503" s="1" t="s">
        <v>63</v>
      </c>
      <c r="C503" s="1">
        <v>1.49060272197019E-2</v>
      </c>
    </row>
    <row r="504" spans="1:3" x14ac:dyDescent="0.25">
      <c r="A504" s="1" t="s">
        <v>10</v>
      </c>
      <c r="B504" s="1" t="s">
        <v>63</v>
      </c>
      <c r="C504" s="1">
        <v>1.5406162464986E-2</v>
      </c>
    </row>
    <row r="505" spans="1:3" x14ac:dyDescent="0.25">
      <c r="A505" s="1" t="s">
        <v>11</v>
      </c>
      <c r="B505" s="1" t="s">
        <v>63</v>
      </c>
      <c r="C505" s="1">
        <v>2.0229265003371501E-2</v>
      </c>
    </row>
    <row r="506" spans="1:3" x14ac:dyDescent="0.25">
      <c r="A506" s="1" t="s">
        <v>12</v>
      </c>
      <c r="B506" s="1" t="s">
        <v>63</v>
      </c>
      <c r="C506" s="1">
        <v>2.3608768971332201E-2</v>
      </c>
    </row>
    <row r="507" spans="1:3" x14ac:dyDescent="0.25">
      <c r="A507" s="1" t="s">
        <v>13</v>
      </c>
      <c r="B507" s="1" t="s">
        <v>63</v>
      </c>
      <c r="C507" s="1">
        <v>1.3164080865068199E-2</v>
      </c>
    </row>
    <row r="508" spans="1:3" x14ac:dyDescent="0.25">
      <c r="A508" s="1" t="s">
        <v>14</v>
      </c>
      <c r="B508" s="1" t="s">
        <v>63</v>
      </c>
      <c r="C508" s="1">
        <v>1.56385751520417E-2</v>
      </c>
    </row>
    <row r="509" spans="1:3" x14ac:dyDescent="0.25">
      <c r="A509" s="1" t="s">
        <v>15</v>
      </c>
      <c r="B509" s="1" t="s">
        <v>63</v>
      </c>
      <c r="C509" s="1">
        <v>1.47737765466297E-2</v>
      </c>
    </row>
    <row r="510" spans="1:3" x14ac:dyDescent="0.25">
      <c r="A510" s="1" t="s">
        <v>16</v>
      </c>
      <c r="B510" s="1" t="s">
        <v>63</v>
      </c>
      <c r="C510" s="1">
        <v>1.38445154419595E-2</v>
      </c>
    </row>
    <row r="511" spans="1:3" x14ac:dyDescent="0.25">
      <c r="A511" s="1" t="s">
        <v>17</v>
      </c>
      <c r="B511" s="1" t="s">
        <v>63</v>
      </c>
      <c r="C511" s="1">
        <v>1.47208121827411E-2</v>
      </c>
    </row>
    <row r="512" spans="1:3" x14ac:dyDescent="0.25">
      <c r="A512" s="1" t="s">
        <v>18</v>
      </c>
      <c r="B512" s="1" t="s">
        <v>63</v>
      </c>
      <c r="C512" s="1">
        <v>8.1001472754050098E-3</v>
      </c>
    </row>
    <row r="513" spans="1:3" x14ac:dyDescent="0.25">
      <c r="A513" s="1" t="s">
        <v>19</v>
      </c>
      <c r="B513" s="1" t="s">
        <v>63</v>
      </c>
      <c r="C513" s="1">
        <v>1.05263157894737E-2</v>
      </c>
    </row>
    <row r="514" spans="1:3" x14ac:dyDescent="0.25">
      <c r="A514" s="1" t="s">
        <v>20</v>
      </c>
      <c r="B514" s="1" t="s">
        <v>63</v>
      </c>
      <c r="C514" s="1">
        <v>3.5906642728904801E-3</v>
      </c>
    </row>
    <row r="515" spans="1:3" x14ac:dyDescent="0.25">
      <c r="A515" s="1" t="s">
        <v>21</v>
      </c>
      <c r="B515" s="1" t="s">
        <v>63</v>
      </c>
      <c r="C515" s="1">
        <v>0</v>
      </c>
    </row>
    <row r="516" spans="1:3" x14ac:dyDescent="0.25">
      <c r="A516" s="1" t="s">
        <v>22</v>
      </c>
      <c r="B516" s="1" t="s">
        <v>63</v>
      </c>
      <c r="C516" s="1">
        <v>0</v>
      </c>
    </row>
    <row r="517" spans="1:3" x14ac:dyDescent="0.25">
      <c r="A517" s="1" t="s">
        <v>23</v>
      </c>
      <c r="B517" s="1" t="s">
        <v>63</v>
      </c>
      <c r="C517" s="1">
        <v>0</v>
      </c>
    </row>
    <row r="518" spans="1:3" x14ac:dyDescent="0.25">
      <c r="A518" s="1" t="s">
        <v>24</v>
      </c>
      <c r="B518" s="1" t="s">
        <v>63</v>
      </c>
      <c r="C518" s="1">
        <v>2.0270270270270302E-3</v>
      </c>
    </row>
    <row r="519" spans="1:3" x14ac:dyDescent="0.25">
      <c r="A519" s="1" t="s">
        <v>25</v>
      </c>
      <c r="B519" s="1" t="s">
        <v>63</v>
      </c>
      <c r="C519" s="1">
        <v>4.96277915632754E-3</v>
      </c>
    </row>
    <row r="520" spans="1:3" x14ac:dyDescent="0.25">
      <c r="A520" s="1" t="s">
        <v>26</v>
      </c>
      <c r="B520" s="1" t="s">
        <v>63</v>
      </c>
      <c r="C520" s="1">
        <v>9.5658572479764507E-3</v>
      </c>
    </row>
    <row r="521" spans="1:3" x14ac:dyDescent="0.25">
      <c r="A521" s="1" t="s">
        <v>27</v>
      </c>
      <c r="B521" s="1" t="s">
        <v>63</v>
      </c>
      <c r="C521" s="1">
        <v>1.1348464619492699E-2</v>
      </c>
    </row>
    <row r="522" spans="1:3" x14ac:dyDescent="0.25">
      <c r="A522" s="1" t="s">
        <v>28</v>
      </c>
      <c r="B522" s="1" t="s">
        <v>63</v>
      </c>
      <c r="C522" s="1">
        <v>1.9028871391076101E-2</v>
      </c>
    </row>
    <row r="523" spans="1:3" x14ac:dyDescent="0.25">
      <c r="A523" s="1" t="s">
        <v>29</v>
      </c>
      <c r="B523" s="1" t="s">
        <v>63</v>
      </c>
      <c r="C523" s="1">
        <v>2.3571428571428601E-2</v>
      </c>
    </row>
    <row r="524" spans="1:3" x14ac:dyDescent="0.25">
      <c r="A524" s="1" t="s">
        <v>30</v>
      </c>
      <c r="B524" s="1" t="s">
        <v>63</v>
      </c>
      <c r="C524" s="1">
        <v>2.2408963585434202E-2</v>
      </c>
    </row>
    <row r="525" spans="1:3" x14ac:dyDescent="0.25">
      <c r="A525" s="1" t="s">
        <v>31</v>
      </c>
      <c r="B525" s="1" t="s">
        <v>63</v>
      </c>
      <c r="C525" s="1">
        <v>1.8331226295828101E-2</v>
      </c>
    </row>
    <row r="526" spans="1:3" x14ac:dyDescent="0.25">
      <c r="A526" s="1" t="s">
        <v>32</v>
      </c>
      <c r="B526" s="1" t="s">
        <v>63</v>
      </c>
      <c r="C526" s="1">
        <v>1.8244575936883601E-2</v>
      </c>
    </row>
    <row r="527" spans="1:3" x14ac:dyDescent="0.25">
      <c r="A527" s="1" t="s">
        <v>33</v>
      </c>
      <c r="B527" s="1" t="s">
        <v>63</v>
      </c>
      <c r="C527" s="1">
        <v>1.0128913443830601E-2</v>
      </c>
    </row>
    <row r="528" spans="1:3" x14ac:dyDescent="0.25">
      <c r="A528" s="1" t="s">
        <v>34</v>
      </c>
      <c r="B528" s="1" t="s">
        <v>63</v>
      </c>
      <c r="C528" s="1">
        <v>1.0329562223315301E-2</v>
      </c>
    </row>
    <row r="529" spans="1:3" x14ac:dyDescent="0.25">
      <c r="A529" s="1" t="s">
        <v>35</v>
      </c>
      <c r="B529" s="1" t="s">
        <v>63</v>
      </c>
      <c r="C529" s="1">
        <v>5.1933064050779E-3</v>
      </c>
    </row>
    <row r="530" spans="1:3" x14ac:dyDescent="0.25">
      <c r="A530" s="1" t="s">
        <v>36</v>
      </c>
      <c r="B530" s="1" t="s">
        <v>63</v>
      </c>
      <c r="C530" s="1">
        <v>7.9772079772079795E-3</v>
      </c>
    </row>
    <row r="531" spans="1:3" x14ac:dyDescent="0.25">
      <c r="A531" s="1" t="s">
        <v>37</v>
      </c>
      <c r="B531" s="1" t="s">
        <v>63</v>
      </c>
      <c r="C531" s="1">
        <v>3.5398230088495601E-3</v>
      </c>
    </row>
    <row r="532" spans="1:3" x14ac:dyDescent="0.25">
      <c r="A532" s="1" t="s">
        <v>38</v>
      </c>
      <c r="B532" s="1" t="s">
        <v>63</v>
      </c>
      <c r="C532" s="1">
        <v>6.6225165562913899E-3</v>
      </c>
    </row>
    <row r="533" spans="1:3" x14ac:dyDescent="0.25">
      <c r="A533" s="1" t="s">
        <v>39</v>
      </c>
      <c r="B533" s="1" t="s">
        <v>63</v>
      </c>
      <c r="C533" s="1">
        <v>0</v>
      </c>
    </row>
    <row r="534" spans="1:3" x14ac:dyDescent="0.25">
      <c r="A534" s="1" t="s">
        <v>2</v>
      </c>
      <c r="B534" s="1" t="s">
        <v>64</v>
      </c>
      <c r="C534" s="1">
        <v>0</v>
      </c>
    </row>
    <row r="535" spans="1:3" x14ac:dyDescent="0.25">
      <c r="A535" s="1" t="s">
        <v>3</v>
      </c>
      <c r="B535" s="1" t="s">
        <v>64</v>
      </c>
      <c r="C535" s="1">
        <v>0</v>
      </c>
    </row>
    <row r="536" spans="1:3" x14ac:dyDescent="0.25">
      <c r="A536" s="1" t="s">
        <v>4</v>
      </c>
      <c r="B536" s="1" t="s">
        <v>64</v>
      </c>
      <c r="C536" s="1">
        <v>0</v>
      </c>
    </row>
    <row r="537" spans="1:3" x14ac:dyDescent="0.25">
      <c r="A537" s="1" t="s">
        <v>5</v>
      </c>
      <c r="B537" s="1" t="s">
        <v>64</v>
      </c>
      <c r="C537" s="1">
        <v>7.27802037845706E-4</v>
      </c>
    </row>
    <row r="538" spans="1:3" x14ac:dyDescent="0.25">
      <c r="A538" s="1" t="s">
        <v>6</v>
      </c>
      <c r="B538" s="1" t="s">
        <v>64</v>
      </c>
      <c r="C538" s="1">
        <v>3.5971223021582701E-3</v>
      </c>
    </row>
    <row r="539" spans="1:3" x14ac:dyDescent="0.25">
      <c r="A539" s="1" t="s">
        <v>7</v>
      </c>
      <c r="B539" s="1" t="s">
        <v>64</v>
      </c>
      <c r="C539" s="1">
        <v>8.1300813008130107E-3</v>
      </c>
    </row>
    <row r="540" spans="1:3" x14ac:dyDescent="0.25">
      <c r="A540" s="1" t="s">
        <v>8</v>
      </c>
      <c r="B540" s="1" t="s">
        <v>64</v>
      </c>
      <c r="C540" s="1">
        <v>2.3960535588442598E-2</v>
      </c>
    </row>
    <row r="541" spans="1:3" x14ac:dyDescent="0.25">
      <c r="A541" s="1" t="s">
        <v>9</v>
      </c>
      <c r="B541" s="1" t="s">
        <v>64</v>
      </c>
      <c r="C541" s="1">
        <v>2.39792611795204E-2</v>
      </c>
    </row>
    <row r="542" spans="1:3" x14ac:dyDescent="0.25">
      <c r="A542" s="1" t="s">
        <v>10</v>
      </c>
      <c r="B542" s="1" t="s">
        <v>64</v>
      </c>
      <c r="C542" s="1">
        <v>3.2913165266106402E-2</v>
      </c>
    </row>
    <row r="543" spans="1:3" x14ac:dyDescent="0.25">
      <c r="A543" s="1" t="s">
        <v>11</v>
      </c>
      <c r="B543" s="1" t="s">
        <v>64</v>
      </c>
      <c r="C543" s="1">
        <v>3.3715441672285899E-2</v>
      </c>
    </row>
    <row r="544" spans="1:3" x14ac:dyDescent="0.25">
      <c r="A544" s="1" t="s">
        <v>12</v>
      </c>
      <c r="B544" s="1" t="s">
        <v>64</v>
      </c>
      <c r="C544" s="1">
        <v>5.2838673412029198E-2</v>
      </c>
    </row>
    <row r="545" spans="1:3" x14ac:dyDescent="0.25">
      <c r="A545" s="1" t="s">
        <v>13</v>
      </c>
      <c r="B545" s="1" t="s">
        <v>64</v>
      </c>
      <c r="C545" s="1">
        <v>8.5566525622943104E-2</v>
      </c>
    </row>
    <row r="546" spans="1:3" x14ac:dyDescent="0.25">
      <c r="A546" s="1" t="s">
        <v>14</v>
      </c>
      <c r="B546" s="1" t="s">
        <v>64</v>
      </c>
      <c r="C546" s="1">
        <v>0.11381407471763701</v>
      </c>
    </row>
    <row r="547" spans="1:3" x14ac:dyDescent="0.25">
      <c r="A547" s="1" t="s">
        <v>15</v>
      </c>
      <c r="B547" s="1" t="s">
        <v>64</v>
      </c>
      <c r="C547" s="1">
        <v>0.14127423822714699</v>
      </c>
    </row>
    <row r="548" spans="1:3" x14ac:dyDescent="0.25">
      <c r="A548" s="1" t="s">
        <v>16</v>
      </c>
      <c r="B548" s="1" t="s">
        <v>64</v>
      </c>
      <c r="C548" s="1">
        <v>0.19116080937167201</v>
      </c>
    </row>
    <row r="549" spans="1:3" x14ac:dyDescent="0.25">
      <c r="A549" s="1" t="s">
        <v>17</v>
      </c>
      <c r="B549" s="1" t="s">
        <v>64</v>
      </c>
      <c r="C549" s="1">
        <v>0.214213197969543</v>
      </c>
    </row>
    <row r="550" spans="1:3" x14ac:dyDescent="0.25">
      <c r="A550" s="1" t="s">
        <v>18</v>
      </c>
      <c r="B550" s="1" t="s">
        <v>64</v>
      </c>
      <c r="C550" s="1">
        <v>0.25699558173784998</v>
      </c>
    </row>
    <row r="551" spans="1:3" x14ac:dyDescent="0.25">
      <c r="A551" s="1" t="s">
        <v>19</v>
      </c>
      <c r="B551" s="1" t="s">
        <v>64</v>
      </c>
      <c r="C551" s="1">
        <v>0.28552631578947402</v>
      </c>
    </row>
    <row r="552" spans="1:3" x14ac:dyDescent="0.25">
      <c r="A552" s="1" t="s">
        <v>20</v>
      </c>
      <c r="B552" s="1" t="s">
        <v>64</v>
      </c>
      <c r="C552" s="1">
        <v>0.26391382405745101</v>
      </c>
    </row>
    <row r="553" spans="1:3" x14ac:dyDescent="0.25">
      <c r="A553" s="1" t="s">
        <v>21</v>
      </c>
      <c r="B553" s="1" t="s">
        <v>64</v>
      </c>
      <c r="C553" s="1">
        <v>0</v>
      </c>
    </row>
    <row r="554" spans="1:3" x14ac:dyDescent="0.25">
      <c r="A554" s="1" t="s">
        <v>22</v>
      </c>
      <c r="B554" s="1" t="s">
        <v>64</v>
      </c>
      <c r="C554" s="1">
        <v>0</v>
      </c>
    </row>
    <row r="555" spans="1:3" x14ac:dyDescent="0.25">
      <c r="A555" s="1" t="s">
        <v>23</v>
      </c>
      <c r="B555" s="1" t="s">
        <v>64</v>
      </c>
      <c r="C555" s="1">
        <v>0</v>
      </c>
    </row>
    <row r="556" spans="1:3" x14ac:dyDescent="0.25">
      <c r="A556" s="1" t="s">
        <v>24</v>
      </c>
      <c r="B556" s="1" t="s">
        <v>64</v>
      </c>
      <c r="C556" s="1">
        <v>6.7567567567567604E-4</v>
      </c>
    </row>
    <row r="557" spans="1:3" x14ac:dyDescent="0.25">
      <c r="A557" s="1" t="s">
        <v>25</v>
      </c>
      <c r="B557" s="1" t="s">
        <v>64</v>
      </c>
      <c r="C557" s="1">
        <v>1.65425971877585E-3</v>
      </c>
    </row>
    <row r="558" spans="1:3" x14ac:dyDescent="0.25">
      <c r="A558" s="1" t="s">
        <v>26</v>
      </c>
      <c r="B558" s="1" t="s">
        <v>64</v>
      </c>
      <c r="C558" s="1">
        <v>5.1508462104488603E-3</v>
      </c>
    </row>
    <row r="559" spans="1:3" x14ac:dyDescent="0.25">
      <c r="A559" s="1" t="s">
        <v>27</v>
      </c>
      <c r="B559" s="1" t="s">
        <v>64</v>
      </c>
      <c r="C559" s="1">
        <v>6.0080106809078798E-3</v>
      </c>
    </row>
    <row r="560" spans="1:3" x14ac:dyDescent="0.25">
      <c r="A560" s="1" t="s">
        <v>28</v>
      </c>
      <c r="B560" s="1" t="s">
        <v>64</v>
      </c>
      <c r="C560" s="1">
        <v>1.0498687664042E-2</v>
      </c>
    </row>
    <row r="561" spans="1:3" x14ac:dyDescent="0.25">
      <c r="A561" s="1" t="s">
        <v>29</v>
      </c>
      <c r="B561" s="1" t="s">
        <v>64</v>
      </c>
      <c r="C561" s="1">
        <v>2.3571428571428601E-2</v>
      </c>
    </row>
    <row r="562" spans="1:3" x14ac:dyDescent="0.25">
      <c r="A562" s="1" t="s">
        <v>30</v>
      </c>
      <c r="B562" s="1" t="s">
        <v>64</v>
      </c>
      <c r="C562" s="1">
        <v>3.4313725490196102E-2</v>
      </c>
    </row>
    <row r="563" spans="1:3" x14ac:dyDescent="0.25">
      <c r="A563" s="1" t="s">
        <v>31</v>
      </c>
      <c r="B563" s="1" t="s">
        <v>64</v>
      </c>
      <c r="C563" s="1">
        <v>5.7522123893805302E-2</v>
      </c>
    </row>
    <row r="564" spans="1:3" x14ac:dyDescent="0.25">
      <c r="A564" s="1" t="s">
        <v>32</v>
      </c>
      <c r="B564" s="1" t="s">
        <v>64</v>
      </c>
      <c r="C564" s="1">
        <v>8.6785009861932896E-2</v>
      </c>
    </row>
    <row r="565" spans="1:3" x14ac:dyDescent="0.25">
      <c r="A565" s="1" t="s">
        <v>33</v>
      </c>
      <c r="B565" s="1" t="s">
        <v>64</v>
      </c>
      <c r="C565" s="1">
        <v>0.12799263351749501</v>
      </c>
    </row>
    <row r="566" spans="1:3" x14ac:dyDescent="0.25">
      <c r="A566" s="1" t="s">
        <v>34</v>
      </c>
      <c r="B566" s="1" t="s">
        <v>64</v>
      </c>
      <c r="C566" s="1">
        <v>0.15691096901131299</v>
      </c>
    </row>
    <row r="567" spans="1:3" x14ac:dyDescent="0.25">
      <c r="A567" s="1" t="s">
        <v>35</v>
      </c>
      <c r="B567" s="1" t="s">
        <v>64</v>
      </c>
      <c r="C567" s="1">
        <v>0.18234275822273499</v>
      </c>
    </row>
    <row r="568" spans="1:3" x14ac:dyDescent="0.25">
      <c r="A568" s="1" t="s">
        <v>36</v>
      </c>
      <c r="B568" s="1" t="s">
        <v>64</v>
      </c>
      <c r="C568" s="1">
        <v>0.21994301994302001</v>
      </c>
    </row>
    <row r="569" spans="1:3" x14ac:dyDescent="0.25">
      <c r="A569" s="1" t="s">
        <v>37</v>
      </c>
      <c r="B569" s="1" t="s">
        <v>64</v>
      </c>
      <c r="C569" s="1">
        <v>0.247787610619469</v>
      </c>
    </row>
    <row r="570" spans="1:3" x14ac:dyDescent="0.25">
      <c r="A570" s="1" t="s">
        <v>38</v>
      </c>
      <c r="B570" s="1" t="s">
        <v>64</v>
      </c>
      <c r="C570" s="1">
        <v>0.26655629139072801</v>
      </c>
    </row>
    <row r="571" spans="1:3" x14ac:dyDescent="0.25">
      <c r="A571" s="1" t="s">
        <v>39</v>
      </c>
      <c r="B571" s="1" t="s">
        <v>64</v>
      </c>
      <c r="C571" s="1">
        <v>0.288025889967638</v>
      </c>
    </row>
    <row r="572" spans="1:3" x14ac:dyDescent="0.25">
      <c r="A572" s="1" t="s">
        <v>2</v>
      </c>
      <c r="B572" s="1" t="s">
        <v>65</v>
      </c>
      <c r="C572" s="1">
        <v>0</v>
      </c>
    </row>
    <row r="573" spans="1:3" x14ac:dyDescent="0.25">
      <c r="A573" s="1" t="s">
        <v>3</v>
      </c>
      <c r="B573" s="1" t="s">
        <v>65</v>
      </c>
      <c r="C573" s="1">
        <v>0</v>
      </c>
    </row>
    <row r="574" spans="1:3" x14ac:dyDescent="0.25">
      <c r="A574" s="1" t="s">
        <v>4</v>
      </c>
      <c r="B574" s="1" t="s">
        <v>65</v>
      </c>
      <c r="C574" s="1">
        <v>0</v>
      </c>
    </row>
    <row r="575" spans="1:3" x14ac:dyDescent="0.25">
      <c r="A575" s="1" t="s">
        <v>5</v>
      </c>
      <c r="B575" s="1" t="s">
        <v>65</v>
      </c>
      <c r="C575" s="1">
        <v>1.0917030567685599E-2</v>
      </c>
    </row>
    <row r="576" spans="1:3" x14ac:dyDescent="0.25">
      <c r="A576" s="1" t="s">
        <v>6</v>
      </c>
      <c r="B576" s="1" t="s">
        <v>65</v>
      </c>
      <c r="C576" s="1">
        <v>6.9244604316546804E-2</v>
      </c>
    </row>
    <row r="577" spans="1:3" x14ac:dyDescent="0.25">
      <c r="A577" s="1" t="s">
        <v>7</v>
      </c>
      <c r="B577" s="1" t="s">
        <v>65</v>
      </c>
      <c r="C577" s="1">
        <v>0.111382113821138</v>
      </c>
    </row>
    <row r="578" spans="1:3" x14ac:dyDescent="0.25">
      <c r="A578" s="1" t="s">
        <v>8</v>
      </c>
      <c r="B578" s="1" t="s">
        <v>65</v>
      </c>
      <c r="C578" s="1">
        <v>0.115574348132488</v>
      </c>
    </row>
    <row r="579" spans="1:3" x14ac:dyDescent="0.25">
      <c r="A579" s="1" t="s">
        <v>9</v>
      </c>
      <c r="B579" s="1" t="s">
        <v>65</v>
      </c>
      <c r="C579" s="1">
        <v>0.121840570317563</v>
      </c>
    </row>
    <row r="580" spans="1:3" x14ac:dyDescent="0.25">
      <c r="A580" s="1" t="s">
        <v>10</v>
      </c>
      <c r="B580" s="1" t="s">
        <v>65</v>
      </c>
      <c r="C580" s="1">
        <v>0.147759103641457</v>
      </c>
    </row>
    <row r="581" spans="1:3" x14ac:dyDescent="0.25">
      <c r="A581" s="1" t="s">
        <v>11</v>
      </c>
      <c r="B581" s="1" t="s">
        <v>65</v>
      </c>
      <c r="C581" s="1">
        <v>0.15239379635873199</v>
      </c>
    </row>
    <row r="582" spans="1:3" x14ac:dyDescent="0.25">
      <c r="A582" s="1" t="s">
        <v>12</v>
      </c>
      <c r="B582" s="1" t="s">
        <v>65</v>
      </c>
      <c r="C582" s="1">
        <v>0.188870151770658</v>
      </c>
    </row>
    <row r="583" spans="1:3" x14ac:dyDescent="0.25">
      <c r="A583" s="1" t="s">
        <v>13</v>
      </c>
      <c r="B583" s="1" t="s">
        <v>65</v>
      </c>
      <c r="C583" s="1">
        <v>0.194170192759756</v>
      </c>
    </row>
    <row r="584" spans="1:3" x14ac:dyDescent="0.25">
      <c r="A584" s="1" t="s">
        <v>14</v>
      </c>
      <c r="B584" s="1" t="s">
        <v>65</v>
      </c>
      <c r="C584" s="1">
        <v>0.19895742832319699</v>
      </c>
    </row>
    <row r="585" spans="1:3" x14ac:dyDescent="0.25">
      <c r="A585" s="1" t="s">
        <v>15</v>
      </c>
      <c r="B585" s="1" t="s">
        <v>65</v>
      </c>
      <c r="C585" s="1">
        <v>0.202216066481994</v>
      </c>
    </row>
    <row r="586" spans="1:3" x14ac:dyDescent="0.25">
      <c r="A586" s="1" t="s">
        <v>16</v>
      </c>
      <c r="B586" s="1" t="s">
        <v>65</v>
      </c>
      <c r="C586" s="1">
        <v>0.232161874334398</v>
      </c>
    </row>
    <row r="587" spans="1:3" x14ac:dyDescent="0.25">
      <c r="A587" s="1" t="s">
        <v>17</v>
      </c>
      <c r="B587" s="1" t="s">
        <v>65</v>
      </c>
      <c r="C587" s="1">
        <v>0.195431472081218</v>
      </c>
    </row>
    <row r="588" spans="1:3" x14ac:dyDescent="0.25">
      <c r="A588" s="1" t="s">
        <v>18</v>
      </c>
      <c r="B588" s="1" t="s">
        <v>65</v>
      </c>
      <c r="C588" s="1">
        <v>0.17304860088365201</v>
      </c>
    </row>
    <row r="589" spans="1:3" x14ac:dyDescent="0.25">
      <c r="A589" s="1" t="s">
        <v>19</v>
      </c>
      <c r="B589" s="1" t="s">
        <v>65</v>
      </c>
      <c r="C589" s="1">
        <v>0.143421052631579</v>
      </c>
    </row>
    <row r="590" spans="1:3" x14ac:dyDescent="0.25">
      <c r="A590" s="1" t="s">
        <v>20</v>
      </c>
      <c r="B590" s="1" t="s">
        <v>65</v>
      </c>
      <c r="C590" s="1">
        <v>7.7199281867145406E-2</v>
      </c>
    </row>
    <row r="591" spans="1:3" x14ac:dyDescent="0.25">
      <c r="A591" s="1" t="s">
        <v>21</v>
      </c>
      <c r="B591" s="1" t="s">
        <v>65</v>
      </c>
      <c r="C591" s="1">
        <v>0</v>
      </c>
    </row>
    <row r="592" spans="1:3" x14ac:dyDescent="0.25">
      <c r="A592" s="1" t="s">
        <v>22</v>
      </c>
      <c r="B592" s="1" t="s">
        <v>65</v>
      </c>
      <c r="C592" s="1">
        <v>0</v>
      </c>
    </row>
    <row r="593" spans="1:3" x14ac:dyDescent="0.25">
      <c r="A593" s="1" t="s">
        <v>23</v>
      </c>
      <c r="B593" s="1" t="s">
        <v>65</v>
      </c>
      <c r="C593" s="1">
        <v>0</v>
      </c>
    </row>
    <row r="594" spans="1:3" x14ac:dyDescent="0.25">
      <c r="A594" s="1" t="s">
        <v>24</v>
      </c>
      <c r="B594" s="1" t="s">
        <v>65</v>
      </c>
      <c r="C594" s="1">
        <v>6.0810810810810797E-3</v>
      </c>
    </row>
    <row r="595" spans="1:3" x14ac:dyDescent="0.25">
      <c r="A595" s="1" t="s">
        <v>25</v>
      </c>
      <c r="B595" s="1" t="s">
        <v>65</v>
      </c>
      <c r="C595" s="1">
        <v>1.6542597187758499E-2</v>
      </c>
    </row>
    <row r="596" spans="1:3" x14ac:dyDescent="0.25">
      <c r="A596" s="1" t="s">
        <v>26</v>
      </c>
      <c r="B596" s="1" t="s">
        <v>65</v>
      </c>
      <c r="C596" s="1">
        <v>3.45842531272995E-2</v>
      </c>
    </row>
    <row r="597" spans="1:3" x14ac:dyDescent="0.25">
      <c r="A597" s="1" t="s">
        <v>27</v>
      </c>
      <c r="B597" s="1" t="s">
        <v>65</v>
      </c>
      <c r="C597" s="1">
        <v>4.7396528704939898E-2</v>
      </c>
    </row>
    <row r="598" spans="1:3" x14ac:dyDescent="0.25">
      <c r="A598" s="1" t="s">
        <v>28</v>
      </c>
      <c r="B598" s="1" t="s">
        <v>65</v>
      </c>
      <c r="C598" s="1">
        <v>5.1181102362204703E-2</v>
      </c>
    </row>
    <row r="599" spans="1:3" x14ac:dyDescent="0.25">
      <c r="A599" s="1" t="s">
        <v>29</v>
      </c>
      <c r="B599" s="1" t="s">
        <v>65</v>
      </c>
      <c r="C599" s="1">
        <v>0.104285714285714</v>
      </c>
    </row>
    <row r="600" spans="1:3" x14ac:dyDescent="0.25">
      <c r="A600" s="1" t="s">
        <v>30</v>
      </c>
      <c r="B600" s="1" t="s">
        <v>65</v>
      </c>
      <c r="C600" s="1">
        <v>0.10574229691876801</v>
      </c>
    </row>
    <row r="601" spans="1:3" x14ac:dyDescent="0.25">
      <c r="A601" s="1" t="s">
        <v>31</v>
      </c>
      <c r="B601" s="1" t="s">
        <v>65</v>
      </c>
      <c r="C601" s="1">
        <v>0.132743362831858</v>
      </c>
    </row>
    <row r="602" spans="1:3" x14ac:dyDescent="0.25">
      <c r="A602" s="1" t="s">
        <v>32</v>
      </c>
      <c r="B602" s="1" t="s">
        <v>65</v>
      </c>
      <c r="C602" s="1">
        <v>0.19625246548323499</v>
      </c>
    </row>
    <row r="603" spans="1:3" x14ac:dyDescent="0.25">
      <c r="A603" s="1" t="s">
        <v>33</v>
      </c>
      <c r="B603" s="1" t="s">
        <v>65</v>
      </c>
      <c r="C603" s="1">
        <v>0.207182320441989</v>
      </c>
    </row>
    <row r="604" spans="1:3" x14ac:dyDescent="0.25">
      <c r="A604" s="1" t="s">
        <v>34</v>
      </c>
      <c r="B604" s="1" t="s">
        <v>65</v>
      </c>
      <c r="C604" s="1">
        <v>0.217412690605017</v>
      </c>
    </row>
    <row r="605" spans="1:3" x14ac:dyDescent="0.25">
      <c r="A605" s="1" t="s">
        <v>35</v>
      </c>
      <c r="B605" s="1" t="s">
        <v>65</v>
      </c>
      <c r="C605" s="1">
        <v>0.23485285631852301</v>
      </c>
    </row>
    <row r="606" spans="1:3" x14ac:dyDescent="0.25">
      <c r="A606" s="1" t="s">
        <v>36</v>
      </c>
      <c r="B606" s="1" t="s">
        <v>65</v>
      </c>
      <c r="C606" s="1">
        <v>0.205698005698006</v>
      </c>
    </row>
    <row r="607" spans="1:3" x14ac:dyDescent="0.25">
      <c r="A607" s="1" t="s">
        <v>37</v>
      </c>
      <c r="B607" s="1" t="s">
        <v>65</v>
      </c>
      <c r="C607" s="1">
        <v>0.16991150442477901</v>
      </c>
    </row>
    <row r="608" spans="1:3" x14ac:dyDescent="0.25">
      <c r="A608" s="1" t="s">
        <v>38</v>
      </c>
      <c r="B608" s="1" t="s">
        <v>65</v>
      </c>
      <c r="C608" s="1">
        <v>0.175496688741722</v>
      </c>
    </row>
    <row r="609" spans="1:3" x14ac:dyDescent="0.25">
      <c r="A609" s="1" t="s">
        <v>39</v>
      </c>
      <c r="B609" s="1" t="s">
        <v>65</v>
      </c>
      <c r="C609" s="1">
        <v>6.7961165048543701E-2</v>
      </c>
    </row>
    <row r="610" spans="1:3" x14ac:dyDescent="0.25">
      <c r="A610" s="1" t="s">
        <v>2</v>
      </c>
      <c r="B610" s="1" t="s">
        <v>66</v>
      </c>
      <c r="C610" s="1">
        <v>0</v>
      </c>
    </row>
    <row r="611" spans="1:3" x14ac:dyDescent="0.25">
      <c r="A611" s="1" t="s">
        <v>3</v>
      </c>
      <c r="B611" s="1" t="s">
        <v>66</v>
      </c>
      <c r="C611" s="1">
        <v>0</v>
      </c>
    </row>
    <row r="612" spans="1:3" x14ac:dyDescent="0.25">
      <c r="A612" s="1" t="s">
        <v>4</v>
      </c>
      <c r="B612" s="1" t="s">
        <v>66</v>
      </c>
      <c r="C612" s="1">
        <v>0</v>
      </c>
    </row>
    <row r="613" spans="1:3" x14ac:dyDescent="0.25">
      <c r="A613" s="1" t="s">
        <v>5</v>
      </c>
      <c r="B613" s="1" t="s">
        <v>66</v>
      </c>
      <c r="C613" s="1">
        <v>0</v>
      </c>
    </row>
    <row r="614" spans="1:3" x14ac:dyDescent="0.25">
      <c r="A614" s="1" t="s">
        <v>6</v>
      </c>
      <c r="B614" s="1" t="s">
        <v>66</v>
      </c>
      <c r="C614" s="1">
        <v>0</v>
      </c>
    </row>
    <row r="615" spans="1:3" x14ac:dyDescent="0.25">
      <c r="A615" s="1" t="s">
        <v>7</v>
      </c>
      <c r="B615" s="1" t="s">
        <v>66</v>
      </c>
      <c r="C615" s="1">
        <v>0</v>
      </c>
    </row>
    <row r="616" spans="1:3" x14ac:dyDescent="0.25">
      <c r="A616" s="1" t="s">
        <v>8</v>
      </c>
      <c r="B616" s="1" t="s">
        <v>66</v>
      </c>
      <c r="C616" s="1">
        <v>0</v>
      </c>
    </row>
    <row r="617" spans="1:3" x14ac:dyDescent="0.25">
      <c r="A617" s="1" t="s">
        <v>9</v>
      </c>
      <c r="B617" s="1" t="s">
        <v>66</v>
      </c>
      <c r="C617" s="1">
        <v>0</v>
      </c>
    </row>
    <row r="618" spans="1:3" x14ac:dyDescent="0.25">
      <c r="A618" s="1" t="s">
        <v>10</v>
      </c>
      <c r="B618" s="1" t="s">
        <v>66</v>
      </c>
      <c r="C618" s="1">
        <v>0</v>
      </c>
    </row>
    <row r="619" spans="1:3" x14ac:dyDescent="0.25">
      <c r="A619" s="1" t="s">
        <v>11</v>
      </c>
      <c r="B619" s="1" t="s">
        <v>66</v>
      </c>
      <c r="C619" s="1">
        <v>0</v>
      </c>
    </row>
    <row r="620" spans="1:3" x14ac:dyDescent="0.25">
      <c r="A620" s="1" t="s">
        <v>12</v>
      </c>
      <c r="B620" s="1" t="s">
        <v>66</v>
      </c>
      <c r="C620" s="1">
        <v>0</v>
      </c>
    </row>
    <row r="621" spans="1:3" x14ac:dyDescent="0.25">
      <c r="A621" s="1" t="s">
        <v>13</v>
      </c>
      <c r="B621" s="1" t="s">
        <v>66</v>
      </c>
      <c r="C621" s="1">
        <v>0</v>
      </c>
    </row>
    <row r="622" spans="1:3" x14ac:dyDescent="0.25">
      <c r="A622" s="1" t="s">
        <v>14</v>
      </c>
      <c r="B622" s="1" t="s">
        <v>66</v>
      </c>
      <c r="C622" s="1">
        <v>3.0408340573414398E-3</v>
      </c>
    </row>
    <row r="623" spans="1:3" x14ac:dyDescent="0.25">
      <c r="A623" s="1" t="s">
        <v>15</v>
      </c>
      <c r="B623" s="1" t="s">
        <v>66</v>
      </c>
      <c r="C623" s="1">
        <v>2.3084025854109001E-3</v>
      </c>
    </row>
    <row r="624" spans="1:3" x14ac:dyDescent="0.25">
      <c r="A624" s="1" t="s">
        <v>16</v>
      </c>
      <c r="B624" s="1" t="s">
        <v>66</v>
      </c>
      <c r="C624" s="1">
        <v>5.3248136315229002E-3</v>
      </c>
    </row>
    <row r="625" spans="1:3" x14ac:dyDescent="0.25">
      <c r="A625" s="1" t="s">
        <v>17</v>
      </c>
      <c r="B625" s="1" t="s">
        <v>66</v>
      </c>
      <c r="C625" s="1">
        <v>1.97969543147208E-2</v>
      </c>
    </row>
    <row r="626" spans="1:3" x14ac:dyDescent="0.25">
      <c r="A626" s="1" t="s">
        <v>18</v>
      </c>
      <c r="B626" s="1" t="s">
        <v>66</v>
      </c>
      <c r="C626" s="1">
        <v>3.1664212076583202E-2</v>
      </c>
    </row>
    <row r="627" spans="1:3" x14ac:dyDescent="0.25">
      <c r="A627" s="1" t="s">
        <v>19</v>
      </c>
      <c r="B627" s="1" t="s">
        <v>66</v>
      </c>
      <c r="C627" s="1">
        <v>5.2631578947368397E-2</v>
      </c>
    </row>
    <row r="628" spans="1:3" x14ac:dyDescent="0.25">
      <c r="A628" s="1" t="s">
        <v>20</v>
      </c>
      <c r="B628" s="1" t="s">
        <v>66</v>
      </c>
      <c r="C628" s="1">
        <v>5.5655296229802503E-2</v>
      </c>
    </row>
    <row r="629" spans="1:3" x14ac:dyDescent="0.25">
      <c r="A629" s="1" t="s">
        <v>21</v>
      </c>
      <c r="B629" s="1" t="s">
        <v>66</v>
      </c>
      <c r="C629" s="1">
        <v>0</v>
      </c>
    </row>
    <row r="630" spans="1:3" x14ac:dyDescent="0.25">
      <c r="A630" s="1" t="s">
        <v>22</v>
      </c>
      <c r="B630" s="1" t="s">
        <v>66</v>
      </c>
      <c r="C630" s="1">
        <v>0</v>
      </c>
    </row>
    <row r="631" spans="1:3" x14ac:dyDescent="0.25">
      <c r="A631" s="1" t="s">
        <v>23</v>
      </c>
      <c r="B631" s="1" t="s">
        <v>66</v>
      </c>
      <c r="C631" s="1">
        <v>0</v>
      </c>
    </row>
    <row r="632" spans="1:3" x14ac:dyDescent="0.25">
      <c r="A632" s="1" t="s">
        <v>24</v>
      </c>
      <c r="B632" s="1" t="s">
        <v>66</v>
      </c>
      <c r="C632" s="1">
        <v>0</v>
      </c>
    </row>
    <row r="633" spans="1:3" x14ac:dyDescent="0.25">
      <c r="A633" s="1" t="s">
        <v>25</v>
      </c>
      <c r="B633" s="1" t="s">
        <v>66</v>
      </c>
      <c r="C633" s="1">
        <v>0</v>
      </c>
    </row>
    <row r="634" spans="1:3" x14ac:dyDescent="0.25">
      <c r="A634" s="1" t="s">
        <v>26</v>
      </c>
      <c r="B634" s="1" t="s">
        <v>66</v>
      </c>
      <c r="C634" s="1">
        <v>0</v>
      </c>
    </row>
    <row r="635" spans="1:3" x14ac:dyDescent="0.25">
      <c r="A635" s="1" t="s">
        <v>27</v>
      </c>
      <c r="B635" s="1" t="s">
        <v>66</v>
      </c>
      <c r="C635" s="1">
        <v>0</v>
      </c>
    </row>
    <row r="636" spans="1:3" x14ac:dyDescent="0.25">
      <c r="A636" s="1" t="s">
        <v>28</v>
      </c>
      <c r="B636" s="1" t="s">
        <v>66</v>
      </c>
      <c r="C636" s="1">
        <v>0</v>
      </c>
    </row>
    <row r="637" spans="1:3" x14ac:dyDescent="0.25">
      <c r="A637" s="1" t="s">
        <v>29</v>
      </c>
      <c r="B637" s="1" t="s">
        <v>66</v>
      </c>
      <c r="C637" s="1">
        <v>0</v>
      </c>
    </row>
    <row r="638" spans="1:3" x14ac:dyDescent="0.25">
      <c r="A638" s="1" t="s">
        <v>30</v>
      </c>
      <c r="B638" s="1" t="s">
        <v>66</v>
      </c>
      <c r="C638" s="1">
        <v>0</v>
      </c>
    </row>
    <row r="639" spans="1:3" x14ac:dyDescent="0.25">
      <c r="A639" s="1" t="s">
        <v>31</v>
      </c>
      <c r="B639" s="1" t="s">
        <v>66</v>
      </c>
      <c r="C639" s="1">
        <v>0</v>
      </c>
    </row>
    <row r="640" spans="1:3" x14ac:dyDescent="0.25">
      <c r="A640" s="1" t="s">
        <v>32</v>
      </c>
      <c r="B640" s="1" t="s">
        <v>66</v>
      </c>
      <c r="C640" s="1">
        <v>0</v>
      </c>
    </row>
    <row r="641" spans="1:3" x14ac:dyDescent="0.25">
      <c r="A641" s="1" t="s">
        <v>33</v>
      </c>
      <c r="B641" s="1" t="s">
        <v>66</v>
      </c>
      <c r="C641" s="1">
        <v>4.6040515653775302E-4</v>
      </c>
    </row>
    <row r="642" spans="1:3" x14ac:dyDescent="0.25">
      <c r="A642" s="1" t="s">
        <v>34</v>
      </c>
      <c r="B642" s="1" t="s">
        <v>66</v>
      </c>
      <c r="C642" s="1">
        <v>9.8376783079193305E-4</v>
      </c>
    </row>
    <row r="643" spans="1:3" x14ac:dyDescent="0.25">
      <c r="A643" s="1" t="s">
        <v>35</v>
      </c>
      <c r="B643" s="1" t="s">
        <v>66</v>
      </c>
      <c r="C643" s="1">
        <v>5.7703404500865504E-4</v>
      </c>
    </row>
    <row r="644" spans="1:3" x14ac:dyDescent="0.25">
      <c r="A644" s="1" t="s">
        <v>36</v>
      </c>
      <c r="B644" s="1" t="s">
        <v>66</v>
      </c>
      <c r="C644" s="1">
        <v>4.5584045584045598E-3</v>
      </c>
    </row>
    <row r="645" spans="1:3" x14ac:dyDescent="0.25">
      <c r="A645" s="1" t="s">
        <v>37</v>
      </c>
      <c r="B645" s="1" t="s">
        <v>66</v>
      </c>
      <c r="C645" s="1">
        <v>8.8495575221238902E-3</v>
      </c>
    </row>
    <row r="646" spans="1:3" x14ac:dyDescent="0.25">
      <c r="A646" s="1" t="s">
        <v>38</v>
      </c>
      <c r="B646" s="1" t="s">
        <v>66</v>
      </c>
      <c r="C646" s="1">
        <v>9.93377483443709E-3</v>
      </c>
    </row>
    <row r="647" spans="1:3" x14ac:dyDescent="0.25">
      <c r="A647" s="1" t="s">
        <v>39</v>
      </c>
      <c r="B647" s="1" t="s">
        <v>66</v>
      </c>
      <c r="C647" s="1">
        <v>1.2944983818770199E-2</v>
      </c>
    </row>
    <row r="648" spans="1:3" x14ac:dyDescent="0.25">
      <c r="A648" s="1" t="s">
        <v>2</v>
      </c>
      <c r="B648" s="1" t="s">
        <v>51</v>
      </c>
      <c r="C648" s="1">
        <v>0</v>
      </c>
    </row>
    <row r="649" spans="1:3" x14ac:dyDescent="0.25">
      <c r="A649" s="1" t="s">
        <v>3</v>
      </c>
      <c r="B649" s="1" t="s">
        <v>51</v>
      </c>
      <c r="C649" s="1">
        <v>0</v>
      </c>
    </row>
    <row r="650" spans="1:3" x14ac:dyDescent="0.25">
      <c r="A650" s="1" t="s">
        <v>4</v>
      </c>
      <c r="B650" s="1" t="s">
        <v>51</v>
      </c>
      <c r="C650" s="1">
        <v>0</v>
      </c>
    </row>
    <row r="651" spans="1:3" x14ac:dyDescent="0.25">
      <c r="A651" s="1" t="s">
        <v>5</v>
      </c>
      <c r="B651" s="1" t="s">
        <v>51</v>
      </c>
      <c r="C651" s="1">
        <v>0</v>
      </c>
    </row>
    <row r="652" spans="1:3" x14ac:dyDescent="0.25">
      <c r="A652" s="1" t="s">
        <v>6</v>
      </c>
      <c r="B652" s="1" t="s">
        <v>51</v>
      </c>
      <c r="C652" s="1">
        <v>0</v>
      </c>
    </row>
    <row r="653" spans="1:3" x14ac:dyDescent="0.25">
      <c r="A653" s="1" t="s">
        <v>7</v>
      </c>
      <c r="B653" s="1" t="s">
        <v>51</v>
      </c>
      <c r="C653" s="1">
        <v>0</v>
      </c>
    </row>
    <row r="654" spans="1:3" x14ac:dyDescent="0.25">
      <c r="A654" s="1" t="s">
        <v>8</v>
      </c>
      <c r="B654" s="1" t="s">
        <v>51</v>
      </c>
      <c r="C654" s="1">
        <v>0</v>
      </c>
    </row>
    <row r="655" spans="1:3" x14ac:dyDescent="0.25">
      <c r="A655" s="1" t="s">
        <v>9</v>
      </c>
      <c r="B655" s="1" t="s">
        <v>51</v>
      </c>
      <c r="C655" s="1">
        <v>0</v>
      </c>
    </row>
    <row r="656" spans="1:3" x14ac:dyDescent="0.25">
      <c r="A656" s="1" t="s">
        <v>10</v>
      </c>
      <c r="B656" s="1" t="s">
        <v>51</v>
      </c>
      <c r="C656" s="1">
        <v>0</v>
      </c>
    </row>
    <row r="657" spans="1:3" x14ac:dyDescent="0.25">
      <c r="A657" s="1" t="s">
        <v>11</v>
      </c>
      <c r="B657" s="1" t="s">
        <v>51</v>
      </c>
      <c r="C657" s="1">
        <v>6.7430883344571802E-4</v>
      </c>
    </row>
    <row r="658" spans="1:3" x14ac:dyDescent="0.25">
      <c r="A658" s="1" t="s">
        <v>12</v>
      </c>
      <c r="B658" s="1" t="s">
        <v>51</v>
      </c>
      <c r="C658" s="1">
        <v>1.6863406408094399E-3</v>
      </c>
    </row>
    <row r="659" spans="1:3" x14ac:dyDescent="0.25">
      <c r="A659" s="1" t="s">
        <v>13</v>
      </c>
      <c r="B659" s="1" t="s">
        <v>51</v>
      </c>
      <c r="C659" s="1">
        <v>2.8208744710860401E-3</v>
      </c>
    </row>
    <row r="660" spans="1:3" x14ac:dyDescent="0.25">
      <c r="A660" s="1" t="s">
        <v>14</v>
      </c>
      <c r="B660" s="1" t="s">
        <v>51</v>
      </c>
      <c r="C660" s="1">
        <v>3.4752389226759299E-3</v>
      </c>
    </row>
    <row r="661" spans="1:3" x14ac:dyDescent="0.25">
      <c r="A661" s="1" t="s">
        <v>15</v>
      </c>
      <c r="B661" s="1" t="s">
        <v>51</v>
      </c>
      <c r="C661" s="1">
        <v>8.3102493074792196E-3</v>
      </c>
    </row>
    <row r="662" spans="1:3" x14ac:dyDescent="0.25">
      <c r="A662" s="1" t="s">
        <v>16</v>
      </c>
      <c r="B662" s="1" t="s">
        <v>51</v>
      </c>
      <c r="C662" s="1">
        <v>1.0117145899893499E-2</v>
      </c>
    </row>
    <row r="663" spans="1:3" x14ac:dyDescent="0.25">
      <c r="A663" s="1" t="s">
        <v>17</v>
      </c>
      <c r="B663" s="1" t="s">
        <v>51</v>
      </c>
      <c r="C663" s="1">
        <v>1.37055837563452E-2</v>
      </c>
    </row>
    <row r="664" spans="1:3" x14ac:dyDescent="0.25">
      <c r="A664" s="1" t="s">
        <v>18</v>
      </c>
      <c r="B664" s="1" t="s">
        <v>51</v>
      </c>
      <c r="C664" s="1">
        <v>1.6200294550809999E-2</v>
      </c>
    </row>
    <row r="665" spans="1:3" x14ac:dyDescent="0.25">
      <c r="A665" s="1" t="s">
        <v>19</v>
      </c>
      <c r="B665" s="1" t="s">
        <v>51</v>
      </c>
      <c r="C665" s="1">
        <v>2.6315789473684199E-2</v>
      </c>
    </row>
    <row r="666" spans="1:3" x14ac:dyDescent="0.25">
      <c r="A666" s="1" t="s">
        <v>20</v>
      </c>
      <c r="B666" s="1" t="s">
        <v>51</v>
      </c>
      <c r="C666" s="1">
        <v>2.5134649910233401E-2</v>
      </c>
    </row>
    <row r="667" spans="1:3" x14ac:dyDescent="0.25">
      <c r="A667" s="1" t="s">
        <v>21</v>
      </c>
      <c r="B667" s="1" t="s">
        <v>51</v>
      </c>
      <c r="C667" s="1">
        <v>0</v>
      </c>
    </row>
    <row r="668" spans="1:3" x14ac:dyDescent="0.25">
      <c r="A668" s="1" t="s">
        <v>22</v>
      </c>
      <c r="B668" s="1" t="s">
        <v>51</v>
      </c>
      <c r="C668" s="1">
        <v>0</v>
      </c>
    </row>
    <row r="669" spans="1:3" x14ac:dyDescent="0.25">
      <c r="A669" s="1" t="s">
        <v>23</v>
      </c>
      <c r="B669" s="1" t="s">
        <v>51</v>
      </c>
      <c r="C669" s="1">
        <v>0</v>
      </c>
    </row>
    <row r="670" spans="1:3" x14ac:dyDescent="0.25">
      <c r="A670" s="1" t="s">
        <v>24</v>
      </c>
      <c r="B670" s="1" t="s">
        <v>51</v>
      </c>
      <c r="C670" s="1">
        <v>0</v>
      </c>
    </row>
    <row r="671" spans="1:3" x14ac:dyDescent="0.25">
      <c r="A671" s="1" t="s">
        <v>25</v>
      </c>
      <c r="B671" s="1" t="s">
        <v>51</v>
      </c>
      <c r="C671" s="1">
        <v>0</v>
      </c>
    </row>
    <row r="672" spans="1:3" x14ac:dyDescent="0.25">
      <c r="A672" s="1" t="s">
        <v>26</v>
      </c>
      <c r="B672" s="1" t="s">
        <v>51</v>
      </c>
      <c r="C672" s="1">
        <v>0</v>
      </c>
    </row>
    <row r="673" spans="1:3" x14ac:dyDescent="0.25">
      <c r="A673" s="1" t="s">
        <v>27</v>
      </c>
      <c r="B673" s="1" t="s">
        <v>51</v>
      </c>
      <c r="C673" s="1">
        <v>0</v>
      </c>
    </row>
    <row r="674" spans="1:3" x14ac:dyDescent="0.25">
      <c r="A674" s="1" t="s">
        <v>28</v>
      </c>
      <c r="B674" s="1" t="s">
        <v>51</v>
      </c>
      <c r="C674" s="1">
        <v>0</v>
      </c>
    </row>
    <row r="675" spans="1:3" x14ac:dyDescent="0.25">
      <c r="A675" s="1" t="s">
        <v>29</v>
      </c>
      <c r="B675" s="1" t="s">
        <v>51</v>
      </c>
      <c r="C675" s="1">
        <v>1.4285714285714301E-3</v>
      </c>
    </row>
    <row r="676" spans="1:3" x14ac:dyDescent="0.25">
      <c r="A676" s="1" t="s">
        <v>30</v>
      </c>
      <c r="B676" s="1" t="s">
        <v>51</v>
      </c>
      <c r="C676" s="1">
        <v>1.40056022408964E-3</v>
      </c>
    </row>
    <row r="677" spans="1:3" x14ac:dyDescent="0.25">
      <c r="A677" s="1" t="s">
        <v>31</v>
      </c>
      <c r="B677" s="1" t="s">
        <v>51</v>
      </c>
      <c r="C677" s="1">
        <v>5.6890012642224997E-3</v>
      </c>
    </row>
    <row r="678" spans="1:3" x14ac:dyDescent="0.25">
      <c r="A678" s="1" t="s">
        <v>32</v>
      </c>
      <c r="B678" s="1" t="s">
        <v>51</v>
      </c>
      <c r="C678" s="1">
        <v>6.41025641025641E-3</v>
      </c>
    </row>
    <row r="679" spans="1:3" x14ac:dyDescent="0.25">
      <c r="A679" s="1" t="s">
        <v>33</v>
      </c>
      <c r="B679" s="1" t="s">
        <v>51</v>
      </c>
      <c r="C679" s="1">
        <v>8.7476979742173097E-3</v>
      </c>
    </row>
    <row r="680" spans="1:3" x14ac:dyDescent="0.25">
      <c r="A680" s="1" t="s">
        <v>34</v>
      </c>
      <c r="B680" s="1" t="s">
        <v>51</v>
      </c>
      <c r="C680" s="1">
        <v>1.5740285292670901E-2</v>
      </c>
    </row>
    <row r="681" spans="1:3" x14ac:dyDescent="0.25">
      <c r="A681" s="1" t="s">
        <v>35</v>
      </c>
      <c r="B681" s="1" t="s">
        <v>51</v>
      </c>
      <c r="C681" s="1">
        <v>2.7697634160415499E-2</v>
      </c>
    </row>
    <row r="682" spans="1:3" x14ac:dyDescent="0.25">
      <c r="A682" s="1" t="s">
        <v>36</v>
      </c>
      <c r="B682" s="1" t="s">
        <v>51</v>
      </c>
      <c r="C682" s="1">
        <v>2.8490028490028501E-2</v>
      </c>
    </row>
    <row r="683" spans="1:3" x14ac:dyDescent="0.25">
      <c r="A683" s="1" t="s">
        <v>37</v>
      </c>
      <c r="B683" s="1" t="s">
        <v>51</v>
      </c>
      <c r="C683" s="1">
        <v>3.9823008849557501E-2</v>
      </c>
    </row>
    <row r="684" spans="1:3" x14ac:dyDescent="0.25">
      <c r="A684" s="1" t="s">
        <v>38</v>
      </c>
      <c r="B684" s="1" t="s">
        <v>51</v>
      </c>
      <c r="C684" s="1">
        <v>3.4768211920529798E-2</v>
      </c>
    </row>
    <row r="685" spans="1:3" x14ac:dyDescent="0.25">
      <c r="A685" s="1" t="s">
        <v>39</v>
      </c>
      <c r="B685" s="1" t="s">
        <v>51</v>
      </c>
      <c r="C685" s="1">
        <v>4.5307443365695803E-2</v>
      </c>
    </row>
    <row r="686" spans="1:3" x14ac:dyDescent="0.25">
      <c r="A686" s="1" t="s">
        <v>2</v>
      </c>
      <c r="B686" s="1" t="s">
        <v>67</v>
      </c>
      <c r="C686" s="1">
        <v>0</v>
      </c>
    </row>
    <row r="687" spans="1:3" x14ac:dyDescent="0.25">
      <c r="A687" s="1" t="s">
        <v>3</v>
      </c>
      <c r="B687" s="1" t="s">
        <v>67</v>
      </c>
      <c r="C687" s="1">
        <v>0</v>
      </c>
    </row>
    <row r="688" spans="1:3" x14ac:dyDescent="0.25">
      <c r="A688" s="1" t="s">
        <v>4</v>
      </c>
      <c r="B688" s="1" t="s">
        <v>67</v>
      </c>
      <c r="C688" s="1">
        <v>0</v>
      </c>
    </row>
    <row r="689" spans="1:3" x14ac:dyDescent="0.25">
      <c r="A689" s="1" t="s">
        <v>5</v>
      </c>
      <c r="B689" s="1" t="s">
        <v>67</v>
      </c>
      <c r="C689" s="1">
        <v>0</v>
      </c>
    </row>
    <row r="690" spans="1:3" x14ac:dyDescent="0.25">
      <c r="A690" s="1" t="s">
        <v>6</v>
      </c>
      <c r="B690" s="1" t="s">
        <v>67</v>
      </c>
      <c r="C690" s="1">
        <v>0</v>
      </c>
    </row>
    <row r="691" spans="1:3" x14ac:dyDescent="0.25">
      <c r="A691" s="1" t="s">
        <v>7</v>
      </c>
      <c r="B691" s="1" t="s">
        <v>67</v>
      </c>
      <c r="C691" s="1">
        <v>0</v>
      </c>
    </row>
    <row r="692" spans="1:3" x14ac:dyDescent="0.25">
      <c r="A692" s="1" t="s">
        <v>8</v>
      </c>
      <c r="B692" s="1" t="s">
        <v>67</v>
      </c>
      <c r="C692" s="1">
        <v>0</v>
      </c>
    </row>
    <row r="693" spans="1:3" x14ac:dyDescent="0.25">
      <c r="A693" s="1" t="s">
        <v>9</v>
      </c>
      <c r="B693" s="1" t="s">
        <v>67</v>
      </c>
      <c r="C693" s="1">
        <v>0</v>
      </c>
    </row>
    <row r="694" spans="1:3" x14ac:dyDescent="0.25">
      <c r="A694" s="1" t="s">
        <v>10</v>
      </c>
      <c r="B694" s="1" t="s">
        <v>67</v>
      </c>
      <c r="C694" s="1">
        <v>0</v>
      </c>
    </row>
    <row r="695" spans="1:3" x14ac:dyDescent="0.25">
      <c r="A695" s="1" t="s">
        <v>11</v>
      </c>
      <c r="B695" s="1" t="s">
        <v>67</v>
      </c>
      <c r="C695" s="1">
        <v>0</v>
      </c>
    </row>
    <row r="696" spans="1:3" x14ac:dyDescent="0.25">
      <c r="A696" s="1" t="s">
        <v>12</v>
      </c>
      <c r="B696" s="1" t="s">
        <v>67</v>
      </c>
      <c r="C696" s="1">
        <v>1.6863406408094399E-3</v>
      </c>
    </row>
    <row r="697" spans="1:3" x14ac:dyDescent="0.25">
      <c r="A697" s="1" t="s">
        <v>13</v>
      </c>
      <c r="B697" s="1" t="s">
        <v>67</v>
      </c>
      <c r="C697" s="1">
        <v>2.3507287259050299E-3</v>
      </c>
    </row>
    <row r="698" spans="1:3" x14ac:dyDescent="0.25">
      <c r="A698" s="1" t="s">
        <v>14</v>
      </c>
      <c r="B698" s="1" t="s">
        <v>67</v>
      </c>
      <c r="C698" s="1">
        <v>3.4752389226759299E-3</v>
      </c>
    </row>
    <row r="699" spans="1:3" x14ac:dyDescent="0.25">
      <c r="A699" s="1" t="s">
        <v>15</v>
      </c>
      <c r="B699" s="1" t="s">
        <v>67</v>
      </c>
      <c r="C699" s="1">
        <v>4.6168051708217897E-3</v>
      </c>
    </row>
    <row r="700" spans="1:3" x14ac:dyDescent="0.25">
      <c r="A700" s="1" t="s">
        <v>16</v>
      </c>
      <c r="B700" s="1" t="s">
        <v>67</v>
      </c>
      <c r="C700" s="1">
        <v>6.3897763578274801E-3</v>
      </c>
    </row>
    <row r="701" spans="1:3" x14ac:dyDescent="0.25">
      <c r="A701" s="1" t="s">
        <v>17</v>
      </c>
      <c r="B701" s="1" t="s">
        <v>67</v>
      </c>
      <c r="C701" s="1">
        <v>8.1218274111675096E-3</v>
      </c>
    </row>
    <row r="702" spans="1:3" x14ac:dyDescent="0.25">
      <c r="A702" s="1" t="s">
        <v>18</v>
      </c>
      <c r="B702" s="1" t="s">
        <v>67</v>
      </c>
      <c r="C702" s="1">
        <v>1.7673048600883701E-2</v>
      </c>
    </row>
    <row r="703" spans="1:3" x14ac:dyDescent="0.25">
      <c r="A703" s="1" t="s">
        <v>19</v>
      </c>
      <c r="B703" s="1" t="s">
        <v>67</v>
      </c>
      <c r="C703" s="1">
        <v>3.4210526315789497E-2</v>
      </c>
    </row>
    <row r="704" spans="1:3" x14ac:dyDescent="0.25">
      <c r="A704" s="1" t="s">
        <v>20</v>
      </c>
      <c r="B704" s="1" t="s">
        <v>67</v>
      </c>
      <c r="C704" s="1">
        <v>6.4631956912028707E-2</v>
      </c>
    </row>
    <row r="705" spans="1:3" x14ac:dyDescent="0.25">
      <c r="A705" s="1" t="s">
        <v>21</v>
      </c>
      <c r="B705" s="1" t="s">
        <v>67</v>
      </c>
      <c r="C705" s="1">
        <v>0</v>
      </c>
    </row>
    <row r="706" spans="1:3" x14ac:dyDescent="0.25">
      <c r="A706" s="1" t="s">
        <v>22</v>
      </c>
      <c r="B706" s="1" t="s">
        <v>67</v>
      </c>
      <c r="C706" s="1">
        <v>0</v>
      </c>
    </row>
    <row r="707" spans="1:3" x14ac:dyDescent="0.25">
      <c r="A707" s="1" t="s">
        <v>23</v>
      </c>
      <c r="B707" s="1" t="s">
        <v>67</v>
      </c>
      <c r="C707" s="1">
        <v>0</v>
      </c>
    </row>
    <row r="708" spans="1:3" x14ac:dyDescent="0.25">
      <c r="A708" s="1" t="s">
        <v>24</v>
      </c>
      <c r="B708" s="1" t="s">
        <v>67</v>
      </c>
      <c r="C708" s="1">
        <v>0</v>
      </c>
    </row>
    <row r="709" spans="1:3" x14ac:dyDescent="0.25">
      <c r="A709" s="1" t="s">
        <v>25</v>
      </c>
      <c r="B709" s="1" t="s">
        <v>67</v>
      </c>
      <c r="C709" s="1">
        <v>0</v>
      </c>
    </row>
    <row r="710" spans="1:3" x14ac:dyDescent="0.25">
      <c r="A710" s="1" t="s">
        <v>26</v>
      </c>
      <c r="B710" s="1" t="s">
        <v>67</v>
      </c>
      <c r="C710" s="1">
        <v>7.3583517292126596E-4</v>
      </c>
    </row>
    <row r="711" spans="1:3" x14ac:dyDescent="0.25">
      <c r="A711" s="1" t="s">
        <v>27</v>
      </c>
      <c r="B711" s="1" t="s">
        <v>67</v>
      </c>
      <c r="C711" s="1">
        <v>0</v>
      </c>
    </row>
    <row r="712" spans="1:3" x14ac:dyDescent="0.25">
      <c r="A712" s="1" t="s">
        <v>28</v>
      </c>
      <c r="B712" s="1" t="s">
        <v>67</v>
      </c>
      <c r="C712" s="1">
        <v>6.5616797900262499E-4</v>
      </c>
    </row>
    <row r="713" spans="1:3" x14ac:dyDescent="0.25">
      <c r="A713" s="1" t="s">
        <v>29</v>
      </c>
      <c r="B713" s="1" t="s">
        <v>67</v>
      </c>
      <c r="C713" s="1">
        <v>0</v>
      </c>
    </row>
    <row r="714" spans="1:3" x14ac:dyDescent="0.25">
      <c r="A714" s="1" t="s">
        <v>30</v>
      </c>
      <c r="B714" s="1" t="s">
        <v>67</v>
      </c>
      <c r="C714" s="1">
        <v>1.40056022408964E-3</v>
      </c>
    </row>
    <row r="715" spans="1:3" x14ac:dyDescent="0.25">
      <c r="A715" s="1" t="s">
        <v>31</v>
      </c>
      <c r="B715" s="1" t="s">
        <v>67</v>
      </c>
      <c r="C715" s="1">
        <v>2.5284450063211101E-3</v>
      </c>
    </row>
    <row r="716" spans="1:3" x14ac:dyDescent="0.25">
      <c r="A716" s="1" t="s">
        <v>32</v>
      </c>
      <c r="B716" s="1" t="s">
        <v>67</v>
      </c>
      <c r="C716" s="1">
        <v>1.9723865877711998E-3</v>
      </c>
    </row>
    <row r="717" spans="1:3" x14ac:dyDescent="0.25">
      <c r="A717" s="1" t="s">
        <v>33</v>
      </c>
      <c r="B717" s="1" t="s">
        <v>67</v>
      </c>
      <c r="C717" s="1">
        <v>3.22283609576427E-3</v>
      </c>
    </row>
    <row r="718" spans="1:3" x14ac:dyDescent="0.25">
      <c r="A718" s="1" t="s">
        <v>34</v>
      </c>
      <c r="B718" s="1" t="s">
        <v>67</v>
      </c>
      <c r="C718" s="1">
        <v>1.96753566158387E-3</v>
      </c>
    </row>
    <row r="719" spans="1:3" x14ac:dyDescent="0.25">
      <c r="A719" s="1" t="s">
        <v>35</v>
      </c>
      <c r="B719" s="1" t="s">
        <v>67</v>
      </c>
      <c r="C719" s="1">
        <v>6.9244085401038696E-3</v>
      </c>
    </row>
    <row r="720" spans="1:3" x14ac:dyDescent="0.25">
      <c r="A720" s="1" t="s">
        <v>36</v>
      </c>
      <c r="B720" s="1" t="s">
        <v>67</v>
      </c>
      <c r="C720" s="1">
        <v>8.5470085470085496E-3</v>
      </c>
    </row>
    <row r="721" spans="1:3" x14ac:dyDescent="0.25">
      <c r="A721" s="1" t="s">
        <v>37</v>
      </c>
      <c r="B721" s="1" t="s">
        <v>67</v>
      </c>
      <c r="C721" s="1">
        <v>1.5929203539823002E-2</v>
      </c>
    </row>
    <row r="722" spans="1:3" x14ac:dyDescent="0.25">
      <c r="A722" s="1" t="s">
        <v>38</v>
      </c>
      <c r="B722" s="1" t="s">
        <v>67</v>
      </c>
      <c r="C722" s="1">
        <v>3.6423841059602599E-2</v>
      </c>
    </row>
    <row r="723" spans="1:3" x14ac:dyDescent="0.25">
      <c r="A723" s="1" t="s">
        <v>39</v>
      </c>
      <c r="B723" s="1" t="s">
        <v>67</v>
      </c>
      <c r="C723" s="1">
        <v>6.4724919093851099E-2</v>
      </c>
    </row>
    <row r="724" spans="1:3" x14ac:dyDescent="0.25">
      <c r="A724" s="1" t="s">
        <v>2</v>
      </c>
      <c r="B724" s="1" t="s">
        <v>68</v>
      </c>
      <c r="C724" s="1">
        <v>0</v>
      </c>
    </row>
    <row r="725" spans="1:3" x14ac:dyDescent="0.25">
      <c r="A725" s="1" t="s">
        <v>3</v>
      </c>
      <c r="B725" s="1" t="s">
        <v>68</v>
      </c>
      <c r="C725" s="1">
        <v>0</v>
      </c>
    </row>
    <row r="726" spans="1:3" x14ac:dyDescent="0.25">
      <c r="A726" s="1" t="s">
        <v>4</v>
      </c>
      <c r="B726" s="1" t="s">
        <v>68</v>
      </c>
      <c r="C726" s="1">
        <v>0</v>
      </c>
    </row>
    <row r="727" spans="1:3" x14ac:dyDescent="0.25">
      <c r="A727" s="1" t="s">
        <v>5</v>
      </c>
      <c r="B727" s="1" t="s">
        <v>68</v>
      </c>
      <c r="C727" s="1">
        <v>0</v>
      </c>
    </row>
    <row r="728" spans="1:3" x14ac:dyDescent="0.25">
      <c r="A728" s="1" t="s">
        <v>6</v>
      </c>
      <c r="B728" s="1" t="s">
        <v>68</v>
      </c>
      <c r="C728" s="1">
        <v>8.9928057553956796E-4</v>
      </c>
    </row>
    <row r="729" spans="1:3" x14ac:dyDescent="0.25">
      <c r="A729" s="1" t="s">
        <v>7</v>
      </c>
      <c r="B729" s="1" t="s">
        <v>68</v>
      </c>
      <c r="C729" s="1">
        <v>8.1300813008130103E-4</v>
      </c>
    </row>
    <row r="730" spans="1:3" x14ac:dyDescent="0.25">
      <c r="A730" s="1" t="s">
        <v>8</v>
      </c>
      <c r="B730" s="1" t="s">
        <v>68</v>
      </c>
      <c r="C730" s="1">
        <v>1.4094432699083899E-3</v>
      </c>
    </row>
    <row r="731" spans="1:3" x14ac:dyDescent="0.25">
      <c r="A731" s="1" t="s">
        <v>9</v>
      </c>
      <c r="B731" s="1" t="s">
        <v>68</v>
      </c>
      <c r="C731" s="1">
        <v>3.2404406999351899E-3</v>
      </c>
    </row>
    <row r="732" spans="1:3" x14ac:dyDescent="0.25">
      <c r="A732" s="1" t="s">
        <v>10</v>
      </c>
      <c r="B732" s="1" t="s">
        <v>68</v>
      </c>
      <c r="C732" s="1">
        <v>6.3025210084033598E-3</v>
      </c>
    </row>
    <row r="733" spans="1:3" x14ac:dyDescent="0.25">
      <c r="A733" s="1" t="s">
        <v>11</v>
      </c>
      <c r="B733" s="1" t="s">
        <v>68</v>
      </c>
      <c r="C733" s="1">
        <v>8.0917060013486197E-3</v>
      </c>
    </row>
    <row r="734" spans="1:3" x14ac:dyDescent="0.25">
      <c r="A734" s="1" t="s">
        <v>12</v>
      </c>
      <c r="B734" s="1" t="s">
        <v>68</v>
      </c>
      <c r="C734" s="1">
        <v>1.12422709387296E-2</v>
      </c>
    </row>
    <row r="735" spans="1:3" x14ac:dyDescent="0.25">
      <c r="A735" s="1" t="s">
        <v>13</v>
      </c>
      <c r="B735" s="1" t="s">
        <v>68</v>
      </c>
      <c r="C735" s="1">
        <v>1.2223789374706201E-2</v>
      </c>
    </row>
    <row r="736" spans="1:3" x14ac:dyDescent="0.25">
      <c r="A736" s="1" t="s">
        <v>14</v>
      </c>
      <c r="B736" s="1" t="s">
        <v>68</v>
      </c>
      <c r="C736" s="1">
        <v>1.47697654213727E-2</v>
      </c>
    </row>
    <row r="737" spans="1:3" x14ac:dyDescent="0.25">
      <c r="A737" s="1" t="s">
        <v>15</v>
      </c>
      <c r="B737" s="1" t="s">
        <v>68</v>
      </c>
      <c r="C737" s="1">
        <v>1.98522622345337E-2</v>
      </c>
    </row>
    <row r="738" spans="1:3" x14ac:dyDescent="0.25">
      <c r="A738" s="1" t="s">
        <v>16</v>
      </c>
      <c r="B738" s="1" t="s">
        <v>68</v>
      </c>
      <c r="C738" s="1">
        <v>1.9701810436634701E-2</v>
      </c>
    </row>
    <row r="739" spans="1:3" x14ac:dyDescent="0.25">
      <c r="A739" s="1" t="s">
        <v>17</v>
      </c>
      <c r="B739" s="1" t="s">
        <v>68</v>
      </c>
      <c r="C739" s="1">
        <v>2.23350253807107E-2</v>
      </c>
    </row>
    <row r="740" spans="1:3" x14ac:dyDescent="0.25">
      <c r="A740" s="1" t="s">
        <v>18</v>
      </c>
      <c r="B740" s="1" t="s">
        <v>68</v>
      </c>
      <c r="C740" s="1">
        <v>2.9455081001472799E-2</v>
      </c>
    </row>
    <row r="741" spans="1:3" x14ac:dyDescent="0.25">
      <c r="A741" s="1" t="s">
        <v>19</v>
      </c>
      <c r="B741" s="1" t="s">
        <v>68</v>
      </c>
      <c r="C741" s="1">
        <v>2.23684210526316E-2</v>
      </c>
    </row>
    <row r="742" spans="1:3" x14ac:dyDescent="0.25">
      <c r="A742" s="1" t="s">
        <v>20</v>
      </c>
      <c r="B742" s="1" t="s">
        <v>68</v>
      </c>
      <c r="C742" s="1">
        <v>2.5134649910233401E-2</v>
      </c>
    </row>
    <row r="743" spans="1:3" x14ac:dyDescent="0.25">
      <c r="A743" s="1" t="s">
        <v>21</v>
      </c>
      <c r="B743" s="1" t="s">
        <v>68</v>
      </c>
      <c r="C743" s="1">
        <v>0</v>
      </c>
    </row>
    <row r="744" spans="1:3" x14ac:dyDescent="0.25">
      <c r="A744" s="1" t="s">
        <v>22</v>
      </c>
      <c r="B744" s="1" t="s">
        <v>68</v>
      </c>
      <c r="C744" s="1">
        <v>0</v>
      </c>
    </row>
    <row r="745" spans="1:3" x14ac:dyDescent="0.25">
      <c r="A745" s="1" t="s">
        <v>23</v>
      </c>
      <c r="B745" s="1" t="s">
        <v>68</v>
      </c>
      <c r="C745" s="1">
        <v>0</v>
      </c>
    </row>
    <row r="746" spans="1:3" x14ac:dyDescent="0.25">
      <c r="A746" s="1" t="s">
        <v>24</v>
      </c>
      <c r="B746" s="1" t="s">
        <v>68</v>
      </c>
      <c r="C746" s="1">
        <v>0</v>
      </c>
    </row>
    <row r="747" spans="1:3" x14ac:dyDescent="0.25">
      <c r="A747" s="1" t="s">
        <v>25</v>
      </c>
      <c r="B747" s="1" t="s">
        <v>68</v>
      </c>
      <c r="C747" s="1">
        <v>0</v>
      </c>
    </row>
    <row r="748" spans="1:3" x14ac:dyDescent="0.25">
      <c r="A748" s="1" t="s">
        <v>26</v>
      </c>
      <c r="B748" s="1" t="s">
        <v>68</v>
      </c>
      <c r="C748" s="1">
        <v>2.2075055187637999E-3</v>
      </c>
    </row>
    <row r="749" spans="1:3" x14ac:dyDescent="0.25">
      <c r="A749" s="1" t="s">
        <v>27</v>
      </c>
      <c r="B749" s="1" t="s">
        <v>68</v>
      </c>
      <c r="C749" s="1">
        <v>0</v>
      </c>
    </row>
    <row r="750" spans="1:3" x14ac:dyDescent="0.25">
      <c r="A750" s="1" t="s">
        <v>28</v>
      </c>
      <c r="B750" s="1" t="s">
        <v>68</v>
      </c>
      <c r="C750" s="1">
        <v>3.9370078740157497E-3</v>
      </c>
    </row>
    <row r="751" spans="1:3" x14ac:dyDescent="0.25">
      <c r="A751" s="1" t="s">
        <v>29</v>
      </c>
      <c r="B751" s="1" t="s">
        <v>68</v>
      </c>
      <c r="C751" s="1">
        <v>3.57142857142857E-3</v>
      </c>
    </row>
    <row r="752" spans="1:3" x14ac:dyDescent="0.25">
      <c r="A752" s="1" t="s">
        <v>30</v>
      </c>
      <c r="B752" s="1" t="s">
        <v>68</v>
      </c>
      <c r="C752" s="1">
        <v>1.40056022408964E-3</v>
      </c>
    </row>
    <row r="753" spans="1:3" x14ac:dyDescent="0.25">
      <c r="A753" s="1" t="s">
        <v>31</v>
      </c>
      <c r="B753" s="1" t="s">
        <v>68</v>
      </c>
      <c r="C753" s="1">
        <v>3.79266750948167E-3</v>
      </c>
    </row>
    <row r="754" spans="1:3" x14ac:dyDescent="0.25">
      <c r="A754" s="1" t="s">
        <v>32</v>
      </c>
      <c r="B754" s="1" t="s">
        <v>68</v>
      </c>
      <c r="C754" s="1">
        <v>5.4240631163708104E-3</v>
      </c>
    </row>
    <row r="755" spans="1:3" x14ac:dyDescent="0.25">
      <c r="A755" s="1" t="s">
        <v>33</v>
      </c>
      <c r="B755" s="1" t="s">
        <v>68</v>
      </c>
      <c r="C755" s="1">
        <v>1.1510128913443799E-2</v>
      </c>
    </row>
    <row r="756" spans="1:3" x14ac:dyDescent="0.25">
      <c r="A756" s="1" t="s">
        <v>34</v>
      </c>
      <c r="B756" s="1" t="s">
        <v>68</v>
      </c>
      <c r="C756" s="1">
        <v>1.2788981800295101E-2</v>
      </c>
    </row>
    <row r="757" spans="1:3" x14ac:dyDescent="0.25">
      <c r="A757" s="1" t="s">
        <v>35</v>
      </c>
      <c r="B757" s="1" t="s">
        <v>68</v>
      </c>
      <c r="C757" s="1">
        <v>1.2694748990190401E-2</v>
      </c>
    </row>
    <row r="758" spans="1:3" x14ac:dyDescent="0.25">
      <c r="A758" s="1" t="s">
        <v>36</v>
      </c>
      <c r="B758" s="1" t="s">
        <v>68</v>
      </c>
      <c r="C758" s="1">
        <v>1.9943019943019901E-2</v>
      </c>
    </row>
    <row r="759" spans="1:3" x14ac:dyDescent="0.25">
      <c r="A759" s="1" t="s">
        <v>37</v>
      </c>
      <c r="B759" s="1" t="s">
        <v>68</v>
      </c>
      <c r="C759" s="1">
        <v>1.7699115044247801E-2</v>
      </c>
    </row>
    <row r="760" spans="1:3" x14ac:dyDescent="0.25">
      <c r="A760" s="1" t="s">
        <v>38</v>
      </c>
      <c r="B760" s="1" t="s">
        <v>68</v>
      </c>
      <c r="C760" s="1">
        <v>1.4900662251655599E-2</v>
      </c>
    </row>
    <row r="761" spans="1:3" x14ac:dyDescent="0.25">
      <c r="A761" s="1" t="s">
        <v>39</v>
      </c>
      <c r="B761" s="1" t="s">
        <v>68</v>
      </c>
      <c r="C761" s="1">
        <v>1.2944983818770199E-2</v>
      </c>
    </row>
    <row r="762" spans="1:3" x14ac:dyDescent="0.25">
      <c r="A762" s="1" t="s">
        <v>2</v>
      </c>
      <c r="B762" s="1" t="s">
        <v>52</v>
      </c>
      <c r="C762" s="1">
        <v>0</v>
      </c>
    </row>
    <row r="763" spans="1:3" x14ac:dyDescent="0.25">
      <c r="A763" s="1" t="s">
        <v>3</v>
      </c>
      <c r="B763" s="1" t="s">
        <v>52</v>
      </c>
      <c r="C763" s="1">
        <v>0</v>
      </c>
    </row>
    <row r="764" spans="1:3" x14ac:dyDescent="0.25">
      <c r="A764" s="1" t="s">
        <v>4</v>
      </c>
      <c r="B764" s="1" t="s">
        <v>52</v>
      </c>
      <c r="C764" s="1">
        <v>7.0721357850070702E-4</v>
      </c>
    </row>
    <row r="765" spans="1:3" x14ac:dyDescent="0.25">
      <c r="A765" s="1" t="s">
        <v>5</v>
      </c>
      <c r="B765" s="1" t="s">
        <v>52</v>
      </c>
      <c r="C765" s="1">
        <v>0</v>
      </c>
    </row>
    <row r="766" spans="1:3" x14ac:dyDescent="0.25">
      <c r="A766" s="1" t="s">
        <v>6</v>
      </c>
      <c r="B766" s="1" t="s">
        <v>52</v>
      </c>
      <c r="C766" s="1">
        <v>0</v>
      </c>
    </row>
    <row r="767" spans="1:3" x14ac:dyDescent="0.25">
      <c r="A767" s="1" t="s">
        <v>7</v>
      </c>
      <c r="B767" s="1" t="s">
        <v>52</v>
      </c>
      <c r="C767" s="1">
        <v>0</v>
      </c>
    </row>
    <row r="768" spans="1:3" x14ac:dyDescent="0.25">
      <c r="A768" s="1" t="s">
        <v>8</v>
      </c>
      <c r="B768" s="1" t="s">
        <v>52</v>
      </c>
      <c r="C768" s="1">
        <v>2.8188865398167699E-3</v>
      </c>
    </row>
    <row r="769" spans="1:3" x14ac:dyDescent="0.25">
      <c r="A769" s="1" t="s">
        <v>9</v>
      </c>
      <c r="B769" s="1" t="s">
        <v>52</v>
      </c>
      <c r="C769" s="1">
        <v>6.4808813998703803E-4</v>
      </c>
    </row>
    <row r="770" spans="1:3" x14ac:dyDescent="0.25">
      <c r="A770" s="1" t="s">
        <v>10</v>
      </c>
      <c r="B770" s="1" t="s">
        <v>52</v>
      </c>
      <c r="C770" s="1">
        <v>2.80112044817927E-3</v>
      </c>
    </row>
    <row r="771" spans="1:3" x14ac:dyDescent="0.25">
      <c r="A771" s="1" t="s">
        <v>11</v>
      </c>
      <c r="B771" s="1" t="s">
        <v>52</v>
      </c>
      <c r="C771" s="1">
        <v>3.3715441672285901E-3</v>
      </c>
    </row>
    <row r="772" spans="1:3" x14ac:dyDescent="0.25">
      <c r="A772" s="1" t="s">
        <v>12</v>
      </c>
      <c r="B772" s="1" t="s">
        <v>52</v>
      </c>
      <c r="C772" s="1">
        <v>1.29286115795391E-2</v>
      </c>
    </row>
    <row r="773" spans="1:3" x14ac:dyDescent="0.25">
      <c r="A773" s="1" t="s">
        <v>13</v>
      </c>
      <c r="B773" s="1" t="s">
        <v>52</v>
      </c>
      <c r="C773" s="1">
        <v>1.55148095909732E-2</v>
      </c>
    </row>
    <row r="774" spans="1:3" x14ac:dyDescent="0.25">
      <c r="A774" s="1" t="s">
        <v>14</v>
      </c>
      <c r="B774" s="1" t="s">
        <v>52</v>
      </c>
      <c r="C774" s="1">
        <v>2.6498696785404001E-2</v>
      </c>
    </row>
    <row r="775" spans="1:3" x14ac:dyDescent="0.25">
      <c r="A775" s="1" t="s">
        <v>15</v>
      </c>
      <c r="B775" s="1" t="s">
        <v>52</v>
      </c>
      <c r="C775" s="1">
        <v>3.8781163434903003E-2</v>
      </c>
    </row>
    <row r="776" spans="1:3" x14ac:dyDescent="0.25">
      <c r="A776" s="1" t="s">
        <v>16</v>
      </c>
      <c r="B776" s="1" t="s">
        <v>52</v>
      </c>
      <c r="C776" s="1">
        <v>5.64430244941427E-2</v>
      </c>
    </row>
    <row r="777" spans="1:3" x14ac:dyDescent="0.25">
      <c r="A777" s="1" t="s">
        <v>17</v>
      </c>
      <c r="B777" s="1" t="s">
        <v>52</v>
      </c>
      <c r="C777" s="1">
        <v>8.0203045685279195E-2</v>
      </c>
    </row>
    <row r="778" spans="1:3" x14ac:dyDescent="0.25">
      <c r="A778" s="1" t="s">
        <v>18</v>
      </c>
      <c r="B778" s="1" t="s">
        <v>52</v>
      </c>
      <c r="C778" s="1">
        <v>0.120765832106038</v>
      </c>
    </row>
    <row r="779" spans="1:3" x14ac:dyDescent="0.25">
      <c r="A779" s="1" t="s">
        <v>19</v>
      </c>
      <c r="B779" s="1" t="s">
        <v>52</v>
      </c>
      <c r="C779" s="1">
        <v>0.17499999999999999</v>
      </c>
    </row>
    <row r="780" spans="1:3" x14ac:dyDescent="0.25">
      <c r="A780" s="1" t="s">
        <v>20</v>
      </c>
      <c r="B780" s="1" t="s">
        <v>52</v>
      </c>
      <c r="C780" s="1">
        <v>0.21903052064632</v>
      </c>
    </row>
    <row r="781" spans="1:3" x14ac:dyDescent="0.25">
      <c r="A781" s="1" t="s">
        <v>21</v>
      </c>
      <c r="B781" s="1" t="s">
        <v>52</v>
      </c>
      <c r="C781" s="1">
        <v>0</v>
      </c>
    </row>
    <row r="782" spans="1:3" x14ac:dyDescent="0.25">
      <c r="A782" s="1" t="s">
        <v>22</v>
      </c>
      <c r="B782" s="1" t="s">
        <v>52</v>
      </c>
      <c r="C782" s="1">
        <v>0</v>
      </c>
    </row>
    <row r="783" spans="1:3" x14ac:dyDescent="0.25">
      <c r="A783" s="1" t="s">
        <v>23</v>
      </c>
      <c r="B783" s="1" t="s">
        <v>52</v>
      </c>
      <c r="C783" s="1">
        <v>6.3816209317166597E-4</v>
      </c>
    </row>
    <row r="784" spans="1:3" x14ac:dyDescent="0.25">
      <c r="A784" s="1" t="s">
        <v>24</v>
      </c>
      <c r="B784" s="1" t="s">
        <v>52</v>
      </c>
      <c r="C784" s="1">
        <v>0</v>
      </c>
    </row>
    <row r="785" spans="1:3" x14ac:dyDescent="0.25">
      <c r="A785" s="1" t="s">
        <v>25</v>
      </c>
      <c r="B785" s="1" t="s">
        <v>52</v>
      </c>
      <c r="C785" s="1">
        <v>1.65425971877585E-3</v>
      </c>
    </row>
    <row r="786" spans="1:3" x14ac:dyDescent="0.25">
      <c r="A786" s="1" t="s">
        <v>26</v>
      </c>
      <c r="B786" s="1" t="s">
        <v>52</v>
      </c>
      <c r="C786" s="1">
        <v>2.2075055187637999E-3</v>
      </c>
    </row>
    <row r="787" spans="1:3" x14ac:dyDescent="0.25">
      <c r="A787" s="1" t="s">
        <v>27</v>
      </c>
      <c r="B787" s="1" t="s">
        <v>52</v>
      </c>
      <c r="C787" s="1">
        <v>2.0026702269692899E-3</v>
      </c>
    </row>
    <row r="788" spans="1:3" x14ac:dyDescent="0.25">
      <c r="A788" s="1" t="s">
        <v>28</v>
      </c>
      <c r="B788" s="1" t="s">
        <v>52</v>
      </c>
      <c r="C788" s="1">
        <v>3.2808398950131198E-3</v>
      </c>
    </row>
    <row r="789" spans="1:3" x14ac:dyDescent="0.25">
      <c r="A789" s="1" t="s">
        <v>29</v>
      </c>
      <c r="B789" s="1" t="s">
        <v>52</v>
      </c>
      <c r="C789" s="1">
        <v>6.4285714285714302E-3</v>
      </c>
    </row>
    <row r="790" spans="1:3" x14ac:dyDescent="0.25">
      <c r="A790" s="1" t="s">
        <v>30</v>
      </c>
      <c r="B790" s="1" t="s">
        <v>52</v>
      </c>
      <c r="C790" s="1">
        <v>9.1036414565826302E-3</v>
      </c>
    </row>
    <row r="791" spans="1:3" x14ac:dyDescent="0.25">
      <c r="A791" s="1" t="s">
        <v>31</v>
      </c>
      <c r="B791" s="1" t="s">
        <v>52</v>
      </c>
      <c r="C791" s="1">
        <v>1.6434892541087199E-2</v>
      </c>
    </row>
    <row r="792" spans="1:3" x14ac:dyDescent="0.25">
      <c r="A792" s="1" t="s">
        <v>32</v>
      </c>
      <c r="B792" s="1" t="s">
        <v>52</v>
      </c>
      <c r="C792" s="1">
        <v>2.7613412228796801E-2</v>
      </c>
    </row>
    <row r="793" spans="1:3" x14ac:dyDescent="0.25">
      <c r="A793" s="1" t="s">
        <v>33</v>
      </c>
      <c r="B793" s="1" t="s">
        <v>52</v>
      </c>
      <c r="C793" s="1">
        <v>3.5451197053406998E-2</v>
      </c>
    </row>
    <row r="794" spans="1:3" x14ac:dyDescent="0.25">
      <c r="A794" s="1" t="s">
        <v>34</v>
      </c>
      <c r="B794" s="1" t="s">
        <v>52</v>
      </c>
      <c r="C794" s="1">
        <v>5.11559272011805E-2</v>
      </c>
    </row>
    <row r="795" spans="1:3" x14ac:dyDescent="0.25">
      <c r="A795" s="1" t="s">
        <v>35</v>
      </c>
      <c r="B795" s="1" t="s">
        <v>52</v>
      </c>
      <c r="C795" s="1">
        <v>7.7899596076168504E-2</v>
      </c>
    </row>
    <row r="796" spans="1:3" x14ac:dyDescent="0.25">
      <c r="A796" s="1" t="s">
        <v>36</v>
      </c>
      <c r="B796" s="1" t="s">
        <v>52</v>
      </c>
      <c r="C796" s="1">
        <v>9.0028490028490005E-2</v>
      </c>
    </row>
    <row r="797" spans="1:3" x14ac:dyDescent="0.25">
      <c r="A797" s="1" t="s">
        <v>37</v>
      </c>
      <c r="B797" s="1" t="s">
        <v>52</v>
      </c>
      <c r="C797" s="1">
        <v>0.13451327433628299</v>
      </c>
    </row>
    <row r="798" spans="1:3" x14ac:dyDescent="0.25">
      <c r="A798" s="1" t="s">
        <v>38</v>
      </c>
      <c r="B798" s="1" t="s">
        <v>52</v>
      </c>
      <c r="C798" s="1">
        <v>0.17384105960264901</v>
      </c>
    </row>
    <row r="799" spans="1:3" x14ac:dyDescent="0.25">
      <c r="A799" s="1" t="s">
        <v>39</v>
      </c>
      <c r="B799" s="1" t="s">
        <v>52</v>
      </c>
      <c r="C799" s="1">
        <v>0.22977346278317201</v>
      </c>
    </row>
  </sheetData>
  <sortState xmlns:xlrd2="http://schemas.microsoft.com/office/spreadsheetml/2017/richdata2" ref="A2:C799">
    <sortCondition ref="B2:B799"/>
    <sortCondition ref="A2:A79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74EA-E78E-4B8C-922E-F2E425C40367}">
  <dimension ref="A1:C211"/>
  <sheetViews>
    <sheetView workbookViewId="0"/>
  </sheetViews>
  <sheetFormatPr defaultRowHeight="15" x14ac:dyDescent="0.25"/>
  <sheetData>
    <row r="1" spans="1:3" x14ac:dyDescent="0.25">
      <c r="A1" s="29" t="s">
        <v>74</v>
      </c>
      <c r="B1" s="29" t="s">
        <v>75</v>
      </c>
      <c r="C1" s="29" t="s">
        <v>76</v>
      </c>
    </row>
    <row r="2" spans="1:3" x14ac:dyDescent="0.25">
      <c r="A2" s="29" t="s">
        <v>42</v>
      </c>
      <c r="B2" s="29" t="s">
        <v>54</v>
      </c>
      <c r="C2" s="29">
        <v>1.2140001813082799</v>
      </c>
    </row>
    <row r="3" spans="1:3" x14ac:dyDescent="0.25">
      <c r="A3" s="29" t="s">
        <v>42</v>
      </c>
      <c r="B3" s="29" t="s">
        <v>55</v>
      </c>
      <c r="C3" s="29">
        <v>1.3231992168878599</v>
      </c>
    </row>
    <row r="4" spans="1:3" x14ac:dyDescent="0.25">
      <c r="A4" s="29" t="s">
        <v>42</v>
      </c>
      <c r="B4" s="29" t="s">
        <v>48</v>
      </c>
      <c r="C4" s="29">
        <v>2.4168511301713398</v>
      </c>
    </row>
    <row r="5" spans="1:3" x14ac:dyDescent="0.25">
      <c r="A5" s="29" t="s">
        <v>42</v>
      </c>
      <c r="B5" s="29" t="s">
        <v>56</v>
      </c>
      <c r="C5" s="29">
        <v>2.5206278651929499</v>
      </c>
    </row>
    <row r="6" spans="1:3" x14ac:dyDescent="0.25">
      <c r="A6" s="29" t="s">
        <v>42</v>
      </c>
      <c r="B6" s="29" t="s">
        <v>57</v>
      </c>
      <c r="C6" s="29">
        <v>1.60446710575582</v>
      </c>
    </row>
    <row r="7" spans="1:3" x14ac:dyDescent="0.25">
      <c r="A7" s="29" t="s">
        <v>42</v>
      </c>
      <c r="B7" s="29" t="s">
        <v>58</v>
      </c>
      <c r="C7" s="29">
        <v>1.29253183594392</v>
      </c>
    </row>
    <row r="8" spans="1:3" x14ac:dyDescent="0.25">
      <c r="A8" s="29" t="s">
        <v>42</v>
      </c>
      <c r="B8" s="29" t="s">
        <v>59</v>
      </c>
      <c r="C8" s="29">
        <v>1.2390862792741899</v>
      </c>
    </row>
    <row r="9" spans="1:3" x14ac:dyDescent="0.25">
      <c r="A9" s="29" t="s">
        <v>42</v>
      </c>
      <c r="B9" s="29" t="s">
        <v>60</v>
      </c>
      <c r="C9" s="29">
        <v>1.6940524833555799</v>
      </c>
    </row>
    <row r="10" spans="1:3" x14ac:dyDescent="0.25">
      <c r="A10" s="29" t="s">
        <v>42</v>
      </c>
      <c r="B10" s="29" t="s">
        <v>61</v>
      </c>
      <c r="C10" s="29">
        <v>2.5677437853020599</v>
      </c>
    </row>
    <row r="11" spans="1:3" x14ac:dyDescent="0.25">
      <c r="A11" s="29" t="s">
        <v>42</v>
      </c>
      <c r="B11" s="29" t="s">
        <v>49</v>
      </c>
      <c r="C11" s="29">
        <v>11.763061502099401</v>
      </c>
    </row>
    <row r="12" spans="1:3" x14ac:dyDescent="0.25">
      <c r="A12" s="29" t="s">
        <v>42</v>
      </c>
      <c r="B12" s="29" t="s">
        <v>50</v>
      </c>
      <c r="C12" s="29">
        <v>1.9752253062070499</v>
      </c>
    </row>
    <row r="13" spans="1:3" x14ac:dyDescent="0.25">
      <c r="A13" s="29" t="s">
        <v>42</v>
      </c>
      <c r="B13" s="29" t="s">
        <v>62</v>
      </c>
      <c r="C13" s="29">
        <v>3.8638522813376901</v>
      </c>
    </row>
    <row r="14" spans="1:3" x14ac:dyDescent="0.25">
      <c r="A14" s="29" t="s">
        <v>42</v>
      </c>
      <c r="B14" s="29" t="s">
        <v>63</v>
      </c>
      <c r="C14" s="29">
        <v>1.4536732598124</v>
      </c>
    </row>
    <row r="15" spans="1:3" x14ac:dyDescent="0.25">
      <c r="A15" s="29" t="s">
        <v>42</v>
      </c>
      <c r="B15" s="29" t="s">
        <v>64</v>
      </c>
      <c r="C15" s="29">
        <v>1.7351360389096</v>
      </c>
    </row>
    <row r="16" spans="1:3" x14ac:dyDescent="0.25">
      <c r="A16" s="29" t="s">
        <v>42</v>
      </c>
      <c r="B16" s="29" t="s">
        <v>65</v>
      </c>
      <c r="C16" s="29">
        <v>2.4671208101934901</v>
      </c>
    </row>
    <row r="17" spans="1:3" x14ac:dyDescent="0.25">
      <c r="A17" s="29" t="s">
        <v>42</v>
      </c>
      <c r="B17" s="29" t="s">
        <v>66</v>
      </c>
      <c r="C17" s="29">
        <v>1.92959079136098</v>
      </c>
    </row>
    <row r="18" spans="1:3" x14ac:dyDescent="0.25">
      <c r="A18" s="29" t="s">
        <v>42</v>
      </c>
      <c r="B18" s="29" t="s">
        <v>51</v>
      </c>
      <c r="C18" s="29">
        <v>1.6336758196577199</v>
      </c>
    </row>
    <row r="19" spans="1:3" x14ac:dyDescent="0.25">
      <c r="A19" s="29" t="s">
        <v>42</v>
      </c>
      <c r="B19" s="29" t="s">
        <v>67</v>
      </c>
      <c r="C19" s="29">
        <v>2.5377587826432202</v>
      </c>
    </row>
    <row r="20" spans="1:3" x14ac:dyDescent="0.25">
      <c r="A20" s="29" t="s">
        <v>42</v>
      </c>
      <c r="B20" s="29" t="s">
        <v>68</v>
      </c>
      <c r="C20" s="29">
        <v>1.6532023745759501</v>
      </c>
    </row>
    <row r="21" spans="1:3" x14ac:dyDescent="0.25">
      <c r="A21" s="29" t="s">
        <v>42</v>
      </c>
      <c r="B21" s="29" t="s">
        <v>52</v>
      </c>
      <c r="C21" s="29">
        <v>2.3110542915332002</v>
      </c>
    </row>
    <row r="22" spans="1:3" x14ac:dyDescent="0.25">
      <c r="A22" s="29" t="s">
        <v>54</v>
      </c>
      <c r="B22" s="29" t="s">
        <v>55</v>
      </c>
      <c r="C22" s="29">
        <v>1.0952924619236999</v>
      </c>
    </row>
    <row r="23" spans="1:3" x14ac:dyDescent="0.25">
      <c r="A23" s="29" t="s">
        <v>54</v>
      </c>
      <c r="B23" s="29" t="s">
        <v>48</v>
      </c>
      <c r="C23" s="29">
        <v>1.29904481955103</v>
      </c>
    </row>
    <row r="24" spans="1:3" x14ac:dyDescent="0.25">
      <c r="A24" s="29" t="s">
        <v>54</v>
      </c>
      <c r="B24" s="29" t="s">
        <v>56</v>
      </c>
      <c r="C24" s="29">
        <v>1.1188091758560199</v>
      </c>
    </row>
    <row r="25" spans="1:3" x14ac:dyDescent="0.25">
      <c r="A25" s="29" t="s">
        <v>54</v>
      </c>
      <c r="B25" s="29" t="s">
        <v>57</v>
      </c>
      <c r="C25" s="29">
        <v>2.9342284453930101</v>
      </c>
    </row>
    <row r="26" spans="1:3" x14ac:dyDescent="0.25">
      <c r="A26" s="29" t="s">
        <v>54</v>
      </c>
      <c r="B26" s="29" t="s">
        <v>58</v>
      </c>
      <c r="C26" s="29">
        <v>1.0564746216830501</v>
      </c>
    </row>
    <row r="27" spans="1:3" x14ac:dyDescent="0.25">
      <c r="A27" s="29" t="s">
        <v>54</v>
      </c>
      <c r="B27" s="29" t="s">
        <v>59</v>
      </c>
      <c r="C27" s="29">
        <v>1.6164643675880199</v>
      </c>
    </row>
    <row r="28" spans="1:3" x14ac:dyDescent="0.25">
      <c r="A28" s="29" t="s">
        <v>54</v>
      </c>
      <c r="B28" s="29" t="s">
        <v>60</v>
      </c>
      <c r="C28" s="29">
        <v>1.50366173166501</v>
      </c>
    </row>
    <row r="29" spans="1:3" x14ac:dyDescent="0.25">
      <c r="A29" s="29" t="s">
        <v>54</v>
      </c>
      <c r="B29" s="29" t="s">
        <v>61</v>
      </c>
      <c r="C29" s="29">
        <v>1.94527938910492</v>
      </c>
    </row>
    <row r="30" spans="1:3" x14ac:dyDescent="0.25">
      <c r="A30" s="29" t="s">
        <v>54</v>
      </c>
      <c r="B30" s="29" t="s">
        <v>49</v>
      </c>
      <c r="C30" s="29">
        <v>1.3887007826559301</v>
      </c>
    </row>
    <row r="31" spans="1:3" x14ac:dyDescent="0.25">
      <c r="A31" s="29" t="s">
        <v>54</v>
      </c>
      <c r="B31" s="29" t="s">
        <v>50</v>
      </c>
      <c r="C31" s="29">
        <v>1.3537117068772799</v>
      </c>
    </row>
    <row r="32" spans="1:3" x14ac:dyDescent="0.25">
      <c r="A32" s="29" t="s">
        <v>54</v>
      </c>
      <c r="B32" s="29" t="s">
        <v>62</v>
      </c>
      <c r="C32" s="29">
        <v>1.63442432271107</v>
      </c>
    </row>
    <row r="33" spans="1:3" x14ac:dyDescent="0.25">
      <c r="A33" s="29" t="s">
        <v>54</v>
      </c>
      <c r="B33" s="29" t="s">
        <v>63</v>
      </c>
      <c r="C33" s="29">
        <v>1.8024494171766201</v>
      </c>
    </row>
    <row r="34" spans="1:3" x14ac:dyDescent="0.25">
      <c r="A34" s="29" t="s">
        <v>54</v>
      </c>
      <c r="B34" s="29" t="s">
        <v>64</v>
      </c>
      <c r="C34" s="29">
        <v>1.38760348448445</v>
      </c>
    </row>
    <row r="35" spans="1:3" x14ac:dyDescent="0.25">
      <c r="A35" s="29" t="s">
        <v>54</v>
      </c>
      <c r="B35" s="29" t="s">
        <v>65</v>
      </c>
      <c r="C35" s="29">
        <v>1.60729028514378</v>
      </c>
    </row>
    <row r="36" spans="1:3" x14ac:dyDescent="0.25">
      <c r="A36" s="29" t="s">
        <v>54</v>
      </c>
      <c r="B36" s="29" t="s">
        <v>66</v>
      </c>
      <c r="C36" s="29">
        <v>2.6730519221032099</v>
      </c>
    </row>
    <row r="37" spans="1:3" x14ac:dyDescent="0.25">
      <c r="A37" s="29" t="s">
        <v>54</v>
      </c>
      <c r="B37" s="29" t="s">
        <v>51</v>
      </c>
      <c r="C37" s="29">
        <v>1.24358448795687</v>
      </c>
    </row>
    <row r="38" spans="1:3" x14ac:dyDescent="0.25">
      <c r="A38" s="29" t="s">
        <v>54</v>
      </c>
      <c r="B38" s="29" t="s">
        <v>67</v>
      </c>
      <c r="C38" s="29">
        <v>1.87495864257281</v>
      </c>
    </row>
    <row r="39" spans="1:3" x14ac:dyDescent="0.25">
      <c r="A39" s="29" t="s">
        <v>54</v>
      </c>
      <c r="B39" s="29" t="s">
        <v>68</v>
      </c>
      <c r="C39" s="29">
        <v>1.54738634291174</v>
      </c>
    </row>
    <row r="40" spans="1:3" x14ac:dyDescent="0.25">
      <c r="A40" s="29" t="s">
        <v>54</v>
      </c>
      <c r="B40" s="29" t="s">
        <v>52</v>
      </c>
      <c r="C40" s="29">
        <v>1.3502495554419001</v>
      </c>
    </row>
    <row r="41" spans="1:3" x14ac:dyDescent="0.25">
      <c r="A41" s="29" t="s">
        <v>55</v>
      </c>
      <c r="B41" s="29" t="s">
        <v>48</v>
      </c>
      <c r="C41" s="29">
        <v>1.12178059532713</v>
      </c>
    </row>
    <row r="42" spans="1:3" x14ac:dyDescent="0.25">
      <c r="A42" s="29" t="s">
        <v>55</v>
      </c>
      <c r="B42" s="29" t="s">
        <v>56</v>
      </c>
      <c r="C42" s="29">
        <v>1.43952724885183</v>
      </c>
    </row>
    <row r="43" spans="1:3" x14ac:dyDescent="0.25">
      <c r="A43" s="29" t="s">
        <v>55</v>
      </c>
      <c r="B43" s="29" t="s">
        <v>57</v>
      </c>
      <c r="C43" s="29">
        <v>1.2976249611399</v>
      </c>
    </row>
    <row r="44" spans="1:3" x14ac:dyDescent="0.25">
      <c r="A44" s="29" t="s">
        <v>55</v>
      </c>
      <c r="B44" s="29" t="s">
        <v>58</v>
      </c>
      <c r="C44" s="29">
        <v>1.4387353198464099</v>
      </c>
    </row>
    <row r="45" spans="1:3" x14ac:dyDescent="0.25">
      <c r="A45" s="29" t="s">
        <v>55</v>
      </c>
      <c r="B45" s="29" t="s">
        <v>59</v>
      </c>
      <c r="C45" s="29">
        <v>1.07494225465726</v>
      </c>
    </row>
    <row r="46" spans="1:3" x14ac:dyDescent="0.25">
      <c r="A46" s="29" t="s">
        <v>55</v>
      </c>
      <c r="B46" s="29" t="s">
        <v>60</v>
      </c>
      <c r="C46" s="29">
        <v>1.0951567358121601</v>
      </c>
    </row>
    <row r="47" spans="1:3" x14ac:dyDescent="0.25">
      <c r="A47" s="29" t="s">
        <v>55</v>
      </c>
      <c r="B47" s="29" t="s">
        <v>61</v>
      </c>
      <c r="C47" s="29">
        <v>1.4301506800169601</v>
      </c>
    </row>
    <row r="48" spans="1:3" x14ac:dyDescent="0.25">
      <c r="A48" s="29" t="s">
        <v>55</v>
      </c>
      <c r="B48" s="29" t="s">
        <v>49</v>
      </c>
      <c r="C48" s="29">
        <v>1.3723952325554301</v>
      </c>
    </row>
    <row r="49" spans="1:3" x14ac:dyDescent="0.25">
      <c r="A49" s="29" t="s">
        <v>55</v>
      </c>
      <c r="B49" s="29" t="s">
        <v>50</v>
      </c>
      <c r="C49" s="29">
        <v>1.1992396648628001</v>
      </c>
    </row>
    <row r="50" spans="1:3" x14ac:dyDescent="0.25">
      <c r="A50" s="29" t="s">
        <v>55</v>
      </c>
      <c r="B50" s="29" t="s">
        <v>62</v>
      </c>
      <c r="C50" s="29">
        <v>2.46861349919853</v>
      </c>
    </row>
    <row r="51" spans="1:3" x14ac:dyDescent="0.25">
      <c r="A51" s="29" t="s">
        <v>55</v>
      </c>
      <c r="B51" s="29" t="s">
        <v>63</v>
      </c>
      <c r="C51" s="29">
        <v>1.1889827547603</v>
      </c>
    </row>
    <row r="52" spans="1:3" x14ac:dyDescent="0.25">
      <c r="A52" s="29" t="s">
        <v>55</v>
      </c>
      <c r="B52" s="29" t="s">
        <v>64</v>
      </c>
      <c r="C52" s="29">
        <v>1.1795245857484</v>
      </c>
    </row>
    <row r="53" spans="1:3" x14ac:dyDescent="0.25">
      <c r="A53" s="29" t="s">
        <v>55</v>
      </c>
      <c r="B53" s="29" t="s">
        <v>65</v>
      </c>
      <c r="C53" s="29">
        <v>1.0997003950019399</v>
      </c>
    </row>
    <row r="54" spans="1:3" x14ac:dyDescent="0.25">
      <c r="A54" s="29" t="s">
        <v>55</v>
      </c>
      <c r="B54" s="29" t="s">
        <v>66</v>
      </c>
      <c r="C54" s="29">
        <v>1.6780862257109801</v>
      </c>
    </row>
    <row r="55" spans="1:3" x14ac:dyDescent="0.25">
      <c r="A55" s="29" t="s">
        <v>55</v>
      </c>
      <c r="B55" s="29" t="s">
        <v>51</v>
      </c>
      <c r="C55" s="29">
        <v>1.60569683338327</v>
      </c>
    </row>
    <row r="56" spans="1:3" x14ac:dyDescent="0.25">
      <c r="A56" s="29" t="s">
        <v>55</v>
      </c>
      <c r="B56" s="29" t="s">
        <v>67</v>
      </c>
      <c r="C56" s="29">
        <v>8.7050614497681895</v>
      </c>
    </row>
    <row r="57" spans="1:3" x14ac:dyDescent="0.25">
      <c r="A57" s="29" t="s">
        <v>55</v>
      </c>
      <c r="B57" s="29" t="s">
        <v>68</v>
      </c>
      <c r="C57" s="29">
        <v>1.32401167199296</v>
      </c>
    </row>
    <row r="58" spans="1:3" x14ac:dyDescent="0.25">
      <c r="A58" s="29" t="s">
        <v>55</v>
      </c>
      <c r="B58" s="29" t="s">
        <v>52</v>
      </c>
      <c r="C58" s="29">
        <v>1.28468192359696</v>
      </c>
    </row>
    <row r="59" spans="1:3" x14ac:dyDescent="0.25">
      <c r="A59" s="29" t="s">
        <v>48</v>
      </c>
      <c r="B59" s="29" t="s">
        <v>56</v>
      </c>
      <c r="C59" s="29">
        <v>2.37900196304291</v>
      </c>
    </row>
    <row r="60" spans="1:3" x14ac:dyDescent="0.25">
      <c r="A60" s="29" t="s">
        <v>48</v>
      </c>
      <c r="B60" s="29" t="s">
        <v>57</v>
      </c>
      <c r="C60" s="29">
        <v>2.26916538696734</v>
      </c>
    </row>
    <row r="61" spans="1:3" x14ac:dyDescent="0.25">
      <c r="A61" s="29" t="s">
        <v>48</v>
      </c>
      <c r="B61" s="29" t="s">
        <v>58</v>
      </c>
      <c r="C61" s="29">
        <v>1.5003419090251799</v>
      </c>
    </row>
    <row r="62" spans="1:3" x14ac:dyDescent="0.25">
      <c r="A62" s="29" t="s">
        <v>48</v>
      </c>
      <c r="B62" s="29" t="s">
        <v>59</v>
      </c>
      <c r="C62" s="29">
        <v>1.6828032839556799</v>
      </c>
    </row>
    <row r="63" spans="1:3" x14ac:dyDescent="0.25">
      <c r="A63" s="29" t="s">
        <v>48</v>
      </c>
      <c r="B63" s="29" t="s">
        <v>60</v>
      </c>
      <c r="C63" s="29">
        <v>2.3581028973225502</v>
      </c>
    </row>
    <row r="64" spans="1:3" x14ac:dyDescent="0.25">
      <c r="A64" s="29" t="s">
        <v>48</v>
      </c>
      <c r="B64" s="29" t="s">
        <v>61</v>
      </c>
      <c r="C64" s="29">
        <v>1.6215984861594499</v>
      </c>
    </row>
    <row r="65" spans="1:3" x14ac:dyDescent="0.25">
      <c r="A65" s="29" t="s">
        <v>48</v>
      </c>
      <c r="B65" s="29" t="s">
        <v>49</v>
      </c>
      <c r="C65" s="29">
        <v>5.8508882575229801</v>
      </c>
    </row>
    <row r="66" spans="1:3" x14ac:dyDescent="0.25">
      <c r="A66" s="29" t="s">
        <v>48</v>
      </c>
      <c r="B66" s="29" t="s">
        <v>50</v>
      </c>
      <c r="C66" s="29">
        <v>1.5985972968640501</v>
      </c>
    </row>
    <row r="67" spans="1:3" x14ac:dyDescent="0.25">
      <c r="A67" s="29" t="s">
        <v>48</v>
      </c>
      <c r="B67" s="29" t="s">
        <v>62</v>
      </c>
      <c r="C67" s="29">
        <v>2.17911805201474</v>
      </c>
    </row>
    <row r="68" spans="1:3" x14ac:dyDescent="0.25">
      <c r="A68" s="29" t="s">
        <v>48</v>
      </c>
      <c r="B68" s="29" t="s">
        <v>63</v>
      </c>
      <c r="C68" s="29">
        <v>1.4958673353319301</v>
      </c>
    </row>
    <row r="69" spans="1:3" x14ac:dyDescent="0.25">
      <c r="A69" s="29" t="s">
        <v>48</v>
      </c>
      <c r="B69" s="29" t="s">
        <v>64</v>
      </c>
      <c r="C69" s="29">
        <v>2.0777731667730799</v>
      </c>
    </row>
    <row r="70" spans="1:3" x14ac:dyDescent="0.25">
      <c r="A70" s="29" t="s">
        <v>48</v>
      </c>
      <c r="B70" s="29" t="s">
        <v>65</v>
      </c>
      <c r="C70" s="29">
        <v>2.0373479678820701</v>
      </c>
    </row>
    <row r="71" spans="1:3" x14ac:dyDescent="0.25">
      <c r="A71" s="29" t="s">
        <v>48</v>
      </c>
      <c r="B71" s="29" t="s">
        <v>66</v>
      </c>
      <c r="C71" s="29">
        <v>2.1667491288291498</v>
      </c>
    </row>
    <row r="72" spans="1:3" x14ac:dyDescent="0.25">
      <c r="A72" s="29" t="s">
        <v>48</v>
      </c>
      <c r="B72" s="29" t="s">
        <v>51</v>
      </c>
      <c r="C72" s="29">
        <v>3.5517481531207502</v>
      </c>
    </row>
    <row r="73" spans="1:3" x14ac:dyDescent="0.25">
      <c r="A73" s="29" t="s">
        <v>48</v>
      </c>
      <c r="B73" s="29" t="s">
        <v>67</v>
      </c>
      <c r="C73" s="29">
        <v>1.96364768300392</v>
      </c>
    </row>
    <row r="74" spans="1:3" x14ac:dyDescent="0.25">
      <c r="A74" s="29" t="s">
        <v>48</v>
      </c>
      <c r="B74" s="29" t="s">
        <v>68</v>
      </c>
      <c r="C74" s="29">
        <v>1.9739499108115299</v>
      </c>
    </row>
    <row r="75" spans="1:3" x14ac:dyDescent="0.25">
      <c r="A75" s="29" t="s">
        <v>48</v>
      </c>
      <c r="B75" s="29" t="s">
        <v>52</v>
      </c>
      <c r="C75" s="29">
        <v>1.9524070075942901</v>
      </c>
    </row>
    <row r="76" spans="1:3" x14ac:dyDescent="0.25">
      <c r="A76" s="29" t="s">
        <v>56</v>
      </c>
      <c r="B76" s="29" t="s">
        <v>57</v>
      </c>
      <c r="C76" s="29">
        <v>1.6114365271475899</v>
      </c>
    </row>
    <row r="77" spans="1:3" x14ac:dyDescent="0.25">
      <c r="A77" s="29" t="s">
        <v>56</v>
      </c>
      <c r="B77" s="29" t="s">
        <v>58</v>
      </c>
      <c r="C77" s="29">
        <v>1.3694341997727599</v>
      </c>
    </row>
    <row r="78" spans="1:3" x14ac:dyDescent="0.25">
      <c r="A78" s="29" t="s">
        <v>56</v>
      </c>
      <c r="B78" s="29" t="s">
        <v>59</v>
      </c>
      <c r="C78" s="29">
        <v>1.3817184165312599</v>
      </c>
    </row>
    <row r="79" spans="1:3" x14ac:dyDescent="0.25">
      <c r="A79" s="29" t="s">
        <v>56</v>
      </c>
      <c r="B79" s="29" t="s">
        <v>60</v>
      </c>
      <c r="C79" s="29">
        <v>2.5279730965361602</v>
      </c>
    </row>
    <row r="80" spans="1:3" x14ac:dyDescent="0.25">
      <c r="A80" s="29" t="s">
        <v>56</v>
      </c>
      <c r="B80" s="29" t="s">
        <v>61</v>
      </c>
      <c r="C80" s="29">
        <v>1.5329459804641301</v>
      </c>
    </row>
    <row r="81" spans="1:3" x14ac:dyDescent="0.25">
      <c r="A81" s="29" t="s">
        <v>56</v>
      </c>
      <c r="B81" s="29" t="s">
        <v>49</v>
      </c>
      <c r="C81" s="29">
        <v>3.71691727438819</v>
      </c>
    </row>
    <row r="82" spans="1:3" x14ac:dyDescent="0.25">
      <c r="A82" s="29" t="s">
        <v>56</v>
      </c>
      <c r="B82" s="29" t="s">
        <v>50</v>
      </c>
      <c r="C82" s="29">
        <v>2.9500987184258101</v>
      </c>
    </row>
    <row r="83" spans="1:3" x14ac:dyDescent="0.25">
      <c r="A83" s="29" t="s">
        <v>56</v>
      </c>
      <c r="B83" s="29" t="s">
        <v>62</v>
      </c>
      <c r="C83" s="29">
        <v>5.5490340439784704</v>
      </c>
    </row>
    <row r="84" spans="1:3" x14ac:dyDescent="0.25">
      <c r="A84" s="29" t="s">
        <v>56</v>
      </c>
      <c r="B84" s="29" t="s">
        <v>63</v>
      </c>
      <c r="C84" s="29">
        <v>2.3707824104200199</v>
      </c>
    </row>
    <row r="85" spans="1:3" x14ac:dyDescent="0.25">
      <c r="A85" s="29" t="s">
        <v>56</v>
      </c>
      <c r="B85" s="29" t="s">
        <v>64</v>
      </c>
      <c r="C85" s="29">
        <v>1.75147455561525</v>
      </c>
    </row>
    <row r="86" spans="1:3" x14ac:dyDescent="0.25">
      <c r="A86" s="29" t="s">
        <v>56</v>
      </c>
      <c r="B86" s="29" t="s">
        <v>65</v>
      </c>
      <c r="C86" s="29">
        <v>2.54784159598259</v>
      </c>
    </row>
    <row r="87" spans="1:3" x14ac:dyDescent="0.25">
      <c r="A87" s="29" t="s">
        <v>56</v>
      </c>
      <c r="B87" s="29" t="s">
        <v>66</v>
      </c>
      <c r="C87" s="29">
        <v>1.30288208525114</v>
      </c>
    </row>
    <row r="88" spans="1:3" x14ac:dyDescent="0.25">
      <c r="A88" s="29" t="s">
        <v>56</v>
      </c>
      <c r="B88" s="29" t="s">
        <v>51</v>
      </c>
      <c r="C88" s="29">
        <v>2.03608326732338</v>
      </c>
    </row>
    <row r="89" spans="1:3" x14ac:dyDescent="0.25">
      <c r="A89" s="29" t="s">
        <v>56</v>
      </c>
      <c r="B89" s="29" t="s">
        <v>67</v>
      </c>
      <c r="C89" s="29">
        <v>1.96397725122172</v>
      </c>
    </row>
    <row r="90" spans="1:3" x14ac:dyDescent="0.25">
      <c r="A90" s="29" t="s">
        <v>56</v>
      </c>
      <c r="B90" s="29" t="s">
        <v>68</v>
      </c>
      <c r="C90" s="29">
        <v>1.45906117306257</v>
      </c>
    </row>
    <row r="91" spans="1:3" x14ac:dyDescent="0.25">
      <c r="A91" s="29" t="s">
        <v>56</v>
      </c>
      <c r="B91" s="29" t="s">
        <v>52</v>
      </c>
      <c r="C91" s="29">
        <v>1.8358823544897001</v>
      </c>
    </row>
    <row r="92" spans="1:3" x14ac:dyDescent="0.25">
      <c r="A92" s="29" t="s">
        <v>57</v>
      </c>
      <c r="B92" s="29" t="s">
        <v>58</v>
      </c>
      <c r="C92" s="29">
        <v>1.3142703840685801</v>
      </c>
    </row>
    <row r="93" spans="1:3" x14ac:dyDescent="0.25">
      <c r="A93" s="29" t="s">
        <v>57</v>
      </c>
      <c r="B93" s="29" t="s">
        <v>59</v>
      </c>
      <c r="C93" s="29">
        <v>2.1583312121141098</v>
      </c>
    </row>
    <row r="94" spans="1:3" x14ac:dyDescent="0.25">
      <c r="A94" s="29" t="s">
        <v>57</v>
      </c>
      <c r="B94" s="29" t="s">
        <v>60</v>
      </c>
      <c r="C94" s="29">
        <v>1.70822615969023</v>
      </c>
    </row>
    <row r="95" spans="1:3" x14ac:dyDescent="0.25">
      <c r="A95" s="29" t="s">
        <v>57</v>
      </c>
      <c r="B95" s="29" t="s">
        <v>61</v>
      </c>
      <c r="C95" s="29">
        <v>2.4091457743424902</v>
      </c>
    </row>
    <row r="96" spans="1:3" x14ac:dyDescent="0.25">
      <c r="A96" s="29" t="s">
        <v>57</v>
      </c>
      <c r="B96" s="29" t="s">
        <v>49</v>
      </c>
      <c r="C96" s="29">
        <v>2.7212082805907598</v>
      </c>
    </row>
    <row r="97" spans="1:3" x14ac:dyDescent="0.25">
      <c r="A97" s="29" t="s">
        <v>57</v>
      </c>
      <c r="B97" s="29" t="s">
        <v>50</v>
      </c>
      <c r="C97" s="29">
        <v>1.3412650100379999</v>
      </c>
    </row>
    <row r="98" spans="1:3" x14ac:dyDescent="0.25">
      <c r="A98" s="29" t="s">
        <v>57</v>
      </c>
      <c r="B98" s="29" t="s">
        <v>62</v>
      </c>
      <c r="C98" s="29">
        <v>4.1677248447335202</v>
      </c>
    </row>
    <row r="99" spans="1:3" x14ac:dyDescent="0.25">
      <c r="A99" s="29" t="s">
        <v>57</v>
      </c>
      <c r="B99" s="29" t="s">
        <v>63</v>
      </c>
      <c r="C99" s="29">
        <v>2.8472381802187798</v>
      </c>
    </row>
    <row r="100" spans="1:3" x14ac:dyDescent="0.25">
      <c r="A100" s="29" t="s">
        <v>57</v>
      </c>
      <c r="B100" s="29" t="s">
        <v>64</v>
      </c>
      <c r="C100" s="29">
        <v>1.6656927743389001</v>
      </c>
    </row>
    <row r="101" spans="1:3" x14ac:dyDescent="0.25">
      <c r="A101" s="29" t="s">
        <v>57</v>
      </c>
      <c r="B101" s="29" t="s">
        <v>65</v>
      </c>
      <c r="C101" s="29">
        <v>1.4414557093309299</v>
      </c>
    </row>
    <row r="102" spans="1:3" x14ac:dyDescent="0.25">
      <c r="A102" s="29" t="s">
        <v>57</v>
      </c>
      <c r="B102" s="29" t="s">
        <v>66</v>
      </c>
      <c r="C102" s="29">
        <v>3.5954140010089799</v>
      </c>
    </row>
    <row r="103" spans="1:3" x14ac:dyDescent="0.25">
      <c r="A103" s="29" t="s">
        <v>57</v>
      </c>
      <c r="B103" s="29" t="s">
        <v>51</v>
      </c>
      <c r="C103" s="29">
        <v>4.2813929236838799</v>
      </c>
    </row>
    <row r="104" spans="1:3" x14ac:dyDescent="0.25">
      <c r="A104" s="29" t="s">
        <v>57</v>
      </c>
      <c r="B104" s="29" t="s">
        <v>67</v>
      </c>
      <c r="C104" s="29">
        <v>4.51885684884006</v>
      </c>
    </row>
    <row r="105" spans="1:3" x14ac:dyDescent="0.25">
      <c r="A105" s="29" t="s">
        <v>57</v>
      </c>
      <c r="B105" s="29" t="s">
        <v>68</v>
      </c>
      <c r="C105" s="29">
        <v>3.2899780236088398</v>
      </c>
    </row>
    <row r="106" spans="1:3" x14ac:dyDescent="0.25">
      <c r="A106" s="29" t="s">
        <v>57</v>
      </c>
      <c r="B106" s="29" t="s">
        <v>52</v>
      </c>
      <c r="C106" s="29">
        <v>2.0129293203433698</v>
      </c>
    </row>
    <row r="107" spans="1:3" x14ac:dyDescent="0.25">
      <c r="A107" s="29" t="s">
        <v>58</v>
      </c>
      <c r="B107" s="29" t="s">
        <v>59</v>
      </c>
      <c r="C107" s="29">
        <v>2.3919895176590602</v>
      </c>
    </row>
    <row r="108" spans="1:3" x14ac:dyDescent="0.25">
      <c r="A108" s="29" t="s">
        <v>58</v>
      </c>
      <c r="B108" s="29" t="s">
        <v>60</v>
      </c>
      <c r="C108" s="29">
        <v>1.6077183019529</v>
      </c>
    </row>
    <row r="109" spans="1:3" x14ac:dyDescent="0.25">
      <c r="A109" s="29" t="s">
        <v>58</v>
      </c>
      <c r="B109" s="29" t="s">
        <v>61</v>
      </c>
      <c r="C109" s="29">
        <v>5.1536751492320096</v>
      </c>
    </row>
    <row r="110" spans="1:3" x14ac:dyDescent="0.25">
      <c r="A110" s="29" t="s">
        <v>58</v>
      </c>
      <c r="B110" s="29" t="s">
        <v>49</v>
      </c>
      <c r="C110" s="29">
        <v>1.5041142868222099</v>
      </c>
    </row>
    <row r="111" spans="1:3" x14ac:dyDescent="0.25">
      <c r="A111" s="29" t="s">
        <v>58</v>
      </c>
      <c r="B111" s="29" t="s">
        <v>50</v>
      </c>
      <c r="C111" s="29">
        <v>1.22812442787045</v>
      </c>
    </row>
    <row r="112" spans="1:3" x14ac:dyDescent="0.25">
      <c r="A112" s="29" t="s">
        <v>58</v>
      </c>
      <c r="B112" s="29" t="s">
        <v>62</v>
      </c>
      <c r="C112" s="29">
        <v>20.522162764518999</v>
      </c>
    </row>
    <row r="113" spans="1:3" x14ac:dyDescent="0.25">
      <c r="A113" s="29" t="s">
        <v>58</v>
      </c>
      <c r="B113" s="29" t="s">
        <v>63</v>
      </c>
      <c r="C113" s="29">
        <v>6.9914965999426801</v>
      </c>
    </row>
    <row r="114" spans="1:3" x14ac:dyDescent="0.25">
      <c r="A114" s="29" t="s">
        <v>58</v>
      </c>
      <c r="B114" s="29" t="s">
        <v>64</v>
      </c>
      <c r="C114" s="29">
        <v>1.2822649428950199</v>
      </c>
    </row>
    <row r="115" spans="1:3" x14ac:dyDescent="0.25">
      <c r="A115" s="29" t="s">
        <v>58</v>
      </c>
      <c r="B115" s="29" t="s">
        <v>65</v>
      </c>
      <c r="C115" s="29">
        <v>0.82802242490770905</v>
      </c>
    </row>
    <row r="116" spans="1:3" x14ac:dyDescent="0.25">
      <c r="A116" s="29" t="s">
        <v>58</v>
      </c>
      <c r="B116" s="29" t="s">
        <v>66</v>
      </c>
      <c r="C116" s="29">
        <v>3.1194329450884402</v>
      </c>
    </row>
    <row r="117" spans="1:3" x14ac:dyDescent="0.25">
      <c r="A117" s="29" t="s">
        <v>58</v>
      </c>
      <c r="B117" s="29" t="s">
        <v>51</v>
      </c>
      <c r="C117" s="29">
        <v>2.1025748237491801</v>
      </c>
    </row>
    <row r="118" spans="1:3" x14ac:dyDescent="0.25">
      <c r="A118" s="29" t="s">
        <v>58</v>
      </c>
      <c r="B118" s="29" t="s">
        <v>67</v>
      </c>
      <c r="C118" s="29">
        <v>3.5443050207539599</v>
      </c>
    </row>
    <row r="119" spans="1:3" x14ac:dyDescent="0.25">
      <c r="A119" s="29" t="s">
        <v>58</v>
      </c>
      <c r="B119" s="29" t="s">
        <v>68</v>
      </c>
      <c r="C119" s="29">
        <v>2.44539832101712</v>
      </c>
    </row>
    <row r="120" spans="1:3" x14ac:dyDescent="0.25">
      <c r="A120" s="29" t="s">
        <v>58</v>
      </c>
      <c r="B120" s="29" t="s">
        <v>52</v>
      </c>
      <c r="C120" s="29">
        <v>2.0437401263728501</v>
      </c>
    </row>
    <row r="121" spans="1:3" x14ac:dyDescent="0.25">
      <c r="A121" s="29" t="s">
        <v>59</v>
      </c>
      <c r="B121" s="29" t="s">
        <v>60</v>
      </c>
      <c r="C121" s="29">
        <v>1.8023129730846199</v>
      </c>
    </row>
    <row r="122" spans="1:3" x14ac:dyDescent="0.25">
      <c r="A122" s="29" t="s">
        <v>59</v>
      </c>
      <c r="B122" s="29" t="s">
        <v>61</v>
      </c>
      <c r="C122" s="29">
        <v>1.5298033365222099</v>
      </c>
    </row>
    <row r="123" spans="1:3" x14ac:dyDescent="0.25">
      <c r="A123" s="29" t="s">
        <v>59</v>
      </c>
      <c r="B123" s="29" t="s">
        <v>49</v>
      </c>
      <c r="C123" s="29">
        <v>1.6471680532645601</v>
      </c>
    </row>
    <row r="124" spans="1:3" x14ac:dyDescent="0.25">
      <c r="A124" s="29" t="s">
        <v>59</v>
      </c>
      <c r="B124" s="29" t="s">
        <v>50</v>
      </c>
      <c r="C124" s="29">
        <v>1.27373592903623</v>
      </c>
    </row>
    <row r="125" spans="1:3" x14ac:dyDescent="0.25">
      <c r="A125" s="29" t="s">
        <v>59</v>
      </c>
      <c r="B125" s="29" t="s">
        <v>62</v>
      </c>
      <c r="C125" s="29">
        <v>0.87387241046103503</v>
      </c>
    </row>
    <row r="126" spans="1:3" x14ac:dyDescent="0.25">
      <c r="A126" s="29" t="s">
        <v>59</v>
      </c>
      <c r="B126" s="29" t="s">
        <v>63</v>
      </c>
      <c r="C126" s="29">
        <v>2.9571582953963</v>
      </c>
    </row>
    <row r="127" spans="1:3" x14ac:dyDescent="0.25">
      <c r="A127" s="29" t="s">
        <v>59</v>
      </c>
      <c r="B127" s="29" t="s">
        <v>64</v>
      </c>
      <c r="C127" s="29">
        <v>1.4245617631626599</v>
      </c>
    </row>
    <row r="128" spans="1:3" x14ac:dyDescent="0.25">
      <c r="A128" s="29" t="s">
        <v>59</v>
      </c>
      <c r="B128" s="29" t="s">
        <v>65</v>
      </c>
      <c r="C128" s="29">
        <v>1.73290464774616</v>
      </c>
    </row>
    <row r="129" spans="1:3" x14ac:dyDescent="0.25">
      <c r="A129" s="29" t="s">
        <v>59</v>
      </c>
      <c r="B129" s="29" t="s">
        <v>66</v>
      </c>
      <c r="C129" s="29">
        <v>2.0876981978227902</v>
      </c>
    </row>
    <row r="130" spans="1:3" x14ac:dyDescent="0.25">
      <c r="A130" s="29" t="s">
        <v>59</v>
      </c>
      <c r="B130" s="29" t="s">
        <v>51</v>
      </c>
      <c r="C130" s="29">
        <v>1.79222692059122</v>
      </c>
    </row>
    <row r="131" spans="1:3" x14ac:dyDescent="0.25">
      <c r="A131" s="29" t="s">
        <v>59</v>
      </c>
      <c r="B131" s="29" t="s">
        <v>67</v>
      </c>
      <c r="C131" s="29">
        <v>1.7546988461600701</v>
      </c>
    </row>
    <row r="132" spans="1:3" x14ac:dyDescent="0.25">
      <c r="A132" s="29" t="s">
        <v>59</v>
      </c>
      <c r="B132" s="29" t="s">
        <v>68</v>
      </c>
      <c r="C132" s="29">
        <v>1.65876152779849</v>
      </c>
    </row>
    <row r="133" spans="1:3" x14ac:dyDescent="0.25">
      <c r="A133" s="29" t="s">
        <v>59</v>
      </c>
      <c r="B133" s="29" t="s">
        <v>52</v>
      </c>
      <c r="C133" s="29">
        <v>1.6775275265282901</v>
      </c>
    </row>
    <row r="134" spans="1:3" x14ac:dyDescent="0.25">
      <c r="A134" s="29" t="s">
        <v>60</v>
      </c>
      <c r="B134" s="29" t="s">
        <v>61</v>
      </c>
      <c r="C134" s="29">
        <v>1.13056196195164</v>
      </c>
    </row>
    <row r="135" spans="1:3" x14ac:dyDescent="0.25">
      <c r="A135" s="29" t="s">
        <v>60</v>
      </c>
      <c r="B135" s="29" t="s">
        <v>49</v>
      </c>
      <c r="C135" s="29">
        <v>2.3672692024152102</v>
      </c>
    </row>
    <row r="136" spans="1:3" x14ac:dyDescent="0.25">
      <c r="A136" s="29" t="s">
        <v>60</v>
      </c>
      <c r="B136" s="29" t="s">
        <v>50</v>
      </c>
      <c r="C136" s="29">
        <v>2.9674640923865199</v>
      </c>
    </row>
    <row r="137" spans="1:3" x14ac:dyDescent="0.25">
      <c r="A137" s="29" t="s">
        <v>60</v>
      </c>
      <c r="B137" s="29" t="s">
        <v>62</v>
      </c>
      <c r="C137" s="29">
        <v>2.6394098100566499</v>
      </c>
    </row>
    <row r="138" spans="1:3" x14ac:dyDescent="0.25">
      <c r="A138" s="29" t="s">
        <v>60</v>
      </c>
      <c r="B138" s="29" t="s">
        <v>63</v>
      </c>
      <c r="C138" s="29">
        <v>1.76528085435866</v>
      </c>
    </row>
    <row r="139" spans="1:3" x14ac:dyDescent="0.25">
      <c r="A139" s="29" t="s">
        <v>60</v>
      </c>
      <c r="B139" s="29" t="s">
        <v>64</v>
      </c>
      <c r="C139" s="29">
        <v>0.105301001800222</v>
      </c>
    </row>
    <row r="140" spans="1:3" x14ac:dyDescent="0.25">
      <c r="A140" s="29" t="s">
        <v>60</v>
      </c>
      <c r="B140" s="29" t="s">
        <v>65</v>
      </c>
      <c r="C140" s="29">
        <v>4.7316311154269499</v>
      </c>
    </row>
    <row r="141" spans="1:3" x14ac:dyDescent="0.25">
      <c r="A141" s="29" t="s">
        <v>60</v>
      </c>
      <c r="B141" s="29" t="s">
        <v>66</v>
      </c>
      <c r="C141" s="29">
        <v>1.24918110214179</v>
      </c>
    </row>
    <row r="142" spans="1:3" x14ac:dyDescent="0.25">
      <c r="A142" s="29" t="s">
        <v>60</v>
      </c>
      <c r="B142" s="29" t="s">
        <v>51</v>
      </c>
      <c r="C142" s="29">
        <v>3.37330410981644</v>
      </c>
    </row>
    <row r="143" spans="1:3" x14ac:dyDescent="0.25">
      <c r="A143" s="29" t="s">
        <v>60</v>
      </c>
      <c r="B143" s="29" t="s">
        <v>67</v>
      </c>
      <c r="C143" s="29">
        <v>2.2595991412301402</v>
      </c>
    </row>
    <row r="144" spans="1:3" x14ac:dyDescent="0.25">
      <c r="A144" s="29" t="s">
        <v>60</v>
      </c>
      <c r="B144" s="29" t="s">
        <v>68</v>
      </c>
      <c r="C144" s="29">
        <v>1.46617724593409</v>
      </c>
    </row>
    <row r="145" spans="1:3" x14ac:dyDescent="0.25">
      <c r="A145" s="29" t="s">
        <v>60</v>
      </c>
      <c r="B145" s="29" t="s">
        <v>52</v>
      </c>
      <c r="C145" s="29">
        <v>1.84028993116697</v>
      </c>
    </row>
    <row r="146" spans="1:3" x14ac:dyDescent="0.25">
      <c r="A146" s="29" t="s">
        <v>61</v>
      </c>
      <c r="B146" s="29" t="s">
        <v>49</v>
      </c>
      <c r="C146" s="29">
        <v>3.3816849589245201</v>
      </c>
    </row>
    <row r="147" spans="1:3" x14ac:dyDescent="0.25">
      <c r="A147" s="29" t="s">
        <v>61</v>
      </c>
      <c r="B147" s="29" t="s">
        <v>50</v>
      </c>
      <c r="C147" s="29">
        <v>1.4025497432754901</v>
      </c>
    </row>
    <row r="148" spans="1:3" x14ac:dyDescent="0.25">
      <c r="A148" s="29" t="s">
        <v>61</v>
      </c>
      <c r="B148" s="29" t="s">
        <v>62</v>
      </c>
      <c r="C148" s="29">
        <v>38.394045935473997</v>
      </c>
    </row>
    <row r="149" spans="1:3" x14ac:dyDescent="0.25">
      <c r="A149" s="29" t="s">
        <v>61</v>
      </c>
      <c r="B149" s="29" t="s">
        <v>63</v>
      </c>
      <c r="C149" s="29">
        <v>4.9325345851317399</v>
      </c>
    </row>
    <row r="150" spans="1:3" x14ac:dyDescent="0.25">
      <c r="A150" s="29" t="s">
        <v>61</v>
      </c>
      <c r="B150" s="29" t="s">
        <v>64</v>
      </c>
      <c r="C150" s="29">
        <v>1.36246743571106</v>
      </c>
    </row>
    <row r="151" spans="1:3" x14ac:dyDescent="0.25">
      <c r="A151" s="29" t="s">
        <v>61</v>
      </c>
      <c r="B151" s="29" t="s">
        <v>65</v>
      </c>
      <c r="C151" s="29">
        <v>1.4123172103237001</v>
      </c>
    </row>
    <row r="152" spans="1:3" x14ac:dyDescent="0.25">
      <c r="A152" s="29" t="s">
        <v>61</v>
      </c>
      <c r="B152" s="29" t="s">
        <v>66</v>
      </c>
      <c r="C152" s="29">
        <v>10.5986128572297</v>
      </c>
    </row>
    <row r="153" spans="1:3" x14ac:dyDescent="0.25">
      <c r="A153" s="29" t="s">
        <v>61</v>
      </c>
      <c r="B153" s="29" t="s">
        <v>51</v>
      </c>
      <c r="C153" s="29">
        <v>4.66727133212874</v>
      </c>
    </row>
    <row r="154" spans="1:3" x14ac:dyDescent="0.25">
      <c r="A154" s="29" t="s">
        <v>61</v>
      </c>
      <c r="B154" s="29" t="s">
        <v>67</v>
      </c>
      <c r="C154" s="29">
        <v>8.3656031675149904</v>
      </c>
    </row>
    <row r="155" spans="1:3" x14ac:dyDescent="0.25">
      <c r="A155" s="29" t="s">
        <v>61</v>
      </c>
      <c r="B155" s="29" t="s">
        <v>68</v>
      </c>
      <c r="C155" s="29">
        <v>5.2806147715285698</v>
      </c>
    </row>
    <row r="156" spans="1:3" x14ac:dyDescent="0.25">
      <c r="A156" s="29" t="s">
        <v>61</v>
      </c>
      <c r="B156" s="29" t="s">
        <v>52</v>
      </c>
      <c r="C156" s="29">
        <v>4.7847627736982803</v>
      </c>
    </row>
    <row r="157" spans="1:3" x14ac:dyDescent="0.25">
      <c r="A157" s="29" t="s">
        <v>49</v>
      </c>
      <c r="B157" s="29" t="s">
        <v>50</v>
      </c>
      <c r="C157" s="29">
        <v>1.63694826097934</v>
      </c>
    </row>
    <row r="158" spans="1:3" x14ac:dyDescent="0.25">
      <c r="A158" s="29" t="s">
        <v>49</v>
      </c>
      <c r="B158" s="29" t="s">
        <v>62</v>
      </c>
      <c r="C158" s="29">
        <v>10.364656809611599</v>
      </c>
    </row>
    <row r="159" spans="1:3" x14ac:dyDescent="0.25">
      <c r="A159" s="29" t="s">
        <v>49</v>
      </c>
      <c r="B159" s="29" t="s">
        <v>63</v>
      </c>
      <c r="C159" s="29">
        <v>3.3523389383858202</v>
      </c>
    </row>
    <row r="160" spans="1:3" x14ac:dyDescent="0.25">
      <c r="A160" s="29" t="s">
        <v>49</v>
      </c>
      <c r="B160" s="29" t="s">
        <v>64</v>
      </c>
      <c r="C160" s="29">
        <v>1.9249204117543699</v>
      </c>
    </row>
    <row r="161" spans="1:3" x14ac:dyDescent="0.25">
      <c r="A161" s="29" t="s">
        <v>49</v>
      </c>
      <c r="B161" s="29" t="s">
        <v>65</v>
      </c>
      <c r="C161" s="29">
        <v>2.1527930269882098</v>
      </c>
    </row>
    <row r="162" spans="1:3" x14ac:dyDescent="0.25">
      <c r="A162" s="29" t="s">
        <v>49</v>
      </c>
      <c r="B162" s="29" t="s">
        <v>66</v>
      </c>
      <c r="C162" s="29">
        <v>2.5186633538022001</v>
      </c>
    </row>
    <row r="163" spans="1:3" x14ac:dyDescent="0.25">
      <c r="A163" s="29" t="s">
        <v>49</v>
      </c>
      <c r="B163" s="29" t="s">
        <v>51</v>
      </c>
      <c r="C163" s="29">
        <v>2.7926769672875502</v>
      </c>
    </row>
    <row r="164" spans="1:3" x14ac:dyDescent="0.25">
      <c r="A164" s="29" t="s">
        <v>49</v>
      </c>
      <c r="B164" s="29" t="s">
        <v>67</v>
      </c>
      <c r="C164" s="29">
        <v>3.3928945838009001</v>
      </c>
    </row>
    <row r="165" spans="1:3" x14ac:dyDescent="0.25">
      <c r="A165" s="29" t="s">
        <v>49</v>
      </c>
      <c r="B165" s="29" t="s">
        <v>68</v>
      </c>
      <c r="C165" s="29">
        <v>2.4261169984450199</v>
      </c>
    </row>
    <row r="166" spans="1:3" x14ac:dyDescent="0.25">
      <c r="A166" s="29" t="s">
        <v>49</v>
      </c>
      <c r="B166" s="29" t="s">
        <v>52</v>
      </c>
      <c r="C166" s="29">
        <v>2.1743560869387801</v>
      </c>
    </row>
    <row r="167" spans="1:3" x14ac:dyDescent="0.25">
      <c r="A167" s="29" t="s">
        <v>50</v>
      </c>
      <c r="B167" s="29" t="s">
        <v>62</v>
      </c>
      <c r="C167" s="29">
        <v>1.3949316297607199</v>
      </c>
    </row>
    <row r="168" spans="1:3" x14ac:dyDescent="0.25">
      <c r="A168" s="29" t="s">
        <v>50</v>
      </c>
      <c r="B168" s="29" t="s">
        <v>63</v>
      </c>
      <c r="C168" s="29">
        <v>1.3627920900125301</v>
      </c>
    </row>
    <row r="169" spans="1:3" x14ac:dyDescent="0.25">
      <c r="A169" s="29" t="s">
        <v>50</v>
      </c>
      <c r="B169" s="29" t="s">
        <v>64</v>
      </c>
      <c r="C169" s="29">
        <v>2.3258877287592701</v>
      </c>
    </row>
    <row r="170" spans="1:3" x14ac:dyDescent="0.25">
      <c r="A170" s="29" t="s">
        <v>50</v>
      </c>
      <c r="B170" s="29" t="s">
        <v>65</v>
      </c>
      <c r="C170" s="29">
        <v>4.5435399748019503</v>
      </c>
    </row>
    <row r="171" spans="1:3" x14ac:dyDescent="0.25">
      <c r="A171" s="29" t="s">
        <v>50</v>
      </c>
      <c r="B171" s="29" t="s">
        <v>66</v>
      </c>
      <c r="C171" s="29">
        <v>1.25203418931828</v>
      </c>
    </row>
    <row r="172" spans="1:3" x14ac:dyDescent="0.25">
      <c r="A172" s="29" t="s">
        <v>50</v>
      </c>
      <c r="B172" s="29" t="s">
        <v>51</v>
      </c>
      <c r="C172" s="29">
        <v>2.1677168347679499</v>
      </c>
    </row>
    <row r="173" spans="1:3" x14ac:dyDescent="0.25">
      <c r="A173" s="29" t="s">
        <v>50</v>
      </c>
      <c r="B173" s="29" t="s">
        <v>67</v>
      </c>
      <c r="C173" s="29">
        <v>1.3990370060341399</v>
      </c>
    </row>
    <row r="174" spans="1:3" x14ac:dyDescent="0.25">
      <c r="A174" s="29" t="s">
        <v>50</v>
      </c>
      <c r="B174" s="29" t="s">
        <v>68</v>
      </c>
      <c r="C174" s="29">
        <v>1.2883168454537499</v>
      </c>
    </row>
    <row r="175" spans="1:3" x14ac:dyDescent="0.25">
      <c r="A175" s="29" t="s">
        <v>50</v>
      </c>
      <c r="B175" s="29" t="s">
        <v>52</v>
      </c>
      <c r="C175" s="29">
        <v>2.1452584413306299</v>
      </c>
    </row>
    <row r="176" spans="1:3" x14ac:dyDescent="0.25">
      <c r="A176" s="29" t="s">
        <v>62</v>
      </c>
      <c r="B176" s="29" t="s">
        <v>63</v>
      </c>
      <c r="C176" s="29">
        <v>9.5719769541271198</v>
      </c>
    </row>
    <row r="177" spans="1:3" x14ac:dyDescent="0.25">
      <c r="A177" s="29" t="s">
        <v>62</v>
      </c>
      <c r="B177" s="29" t="s">
        <v>64</v>
      </c>
      <c r="C177" s="29">
        <v>2.05238163775486</v>
      </c>
    </row>
    <row r="178" spans="1:3" x14ac:dyDescent="0.25">
      <c r="A178" s="29" t="s">
        <v>62</v>
      </c>
      <c r="B178" s="29" t="s">
        <v>65</v>
      </c>
      <c r="C178" s="29">
        <v>4.5312325372208102</v>
      </c>
    </row>
    <row r="179" spans="1:3" x14ac:dyDescent="0.25">
      <c r="A179" s="29" t="s">
        <v>62</v>
      </c>
      <c r="B179" s="29" t="s">
        <v>66</v>
      </c>
      <c r="C179" s="29">
        <v>45.9403606209424</v>
      </c>
    </row>
    <row r="180" spans="1:3" x14ac:dyDescent="0.25">
      <c r="A180" s="29" t="s">
        <v>62</v>
      </c>
      <c r="B180" s="29" t="s">
        <v>51</v>
      </c>
      <c r="C180" s="29">
        <v>14.320017565226101</v>
      </c>
    </row>
    <row r="181" spans="1:3" x14ac:dyDescent="0.25">
      <c r="A181" s="29" t="s">
        <v>62</v>
      </c>
      <c r="B181" s="29" t="s">
        <v>67</v>
      </c>
      <c r="C181" s="29">
        <v>27.256225071630901</v>
      </c>
    </row>
    <row r="182" spans="1:3" x14ac:dyDescent="0.25">
      <c r="A182" s="29" t="s">
        <v>62</v>
      </c>
      <c r="B182" s="29" t="s">
        <v>68</v>
      </c>
      <c r="C182" s="29">
        <v>8.7654665012979098</v>
      </c>
    </row>
    <row r="183" spans="1:3" x14ac:dyDescent="0.25">
      <c r="A183" s="29" t="s">
        <v>62</v>
      </c>
      <c r="B183" s="29" t="s">
        <v>52</v>
      </c>
      <c r="C183" s="29">
        <v>4.6835586583563797</v>
      </c>
    </row>
    <row r="184" spans="1:3" x14ac:dyDescent="0.25">
      <c r="A184" s="29" t="s">
        <v>63</v>
      </c>
      <c r="B184" s="29" t="s">
        <v>64</v>
      </c>
      <c r="C184" s="29">
        <v>2.2705026437209699</v>
      </c>
    </row>
    <row r="185" spans="1:3" x14ac:dyDescent="0.25">
      <c r="A185" s="29" t="s">
        <v>63</v>
      </c>
      <c r="B185" s="29" t="s">
        <v>65</v>
      </c>
      <c r="C185" s="29">
        <v>3.4134669681081502</v>
      </c>
    </row>
    <row r="186" spans="1:3" x14ac:dyDescent="0.25">
      <c r="A186" s="29" t="s">
        <v>63</v>
      </c>
      <c r="B186" s="29" t="s">
        <v>66</v>
      </c>
      <c r="C186" s="29">
        <v>8.7304751467186996</v>
      </c>
    </row>
    <row r="187" spans="1:3" x14ac:dyDescent="0.25">
      <c r="A187" s="29" t="s">
        <v>63</v>
      </c>
      <c r="B187" s="29" t="s">
        <v>51</v>
      </c>
      <c r="C187" s="29">
        <v>5.1937001432605703</v>
      </c>
    </row>
    <row r="188" spans="1:3" x14ac:dyDescent="0.25">
      <c r="A188" s="29" t="s">
        <v>63</v>
      </c>
      <c r="B188" s="29" t="s">
        <v>67</v>
      </c>
      <c r="C188" s="29">
        <v>9.4697014779180009</v>
      </c>
    </row>
    <row r="189" spans="1:3" x14ac:dyDescent="0.25">
      <c r="A189" s="29" t="s">
        <v>63</v>
      </c>
      <c r="B189" s="29" t="s">
        <v>68</v>
      </c>
      <c r="C189" s="29">
        <v>3.30777763467561</v>
      </c>
    </row>
    <row r="190" spans="1:3" x14ac:dyDescent="0.25">
      <c r="A190" s="29" t="s">
        <v>63</v>
      </c>
      <c r="B190" s="29" t="s">
        <v>52</v>
      </c>
      <c r="C190" s="29">
        <v>2.4830000017723899</v>
      </c>
    </row>
    <row r="191" spans="1:3" x14ac:dyDescent="0.25">
      <c r="A191" s="29" t="s">
        <v>64</v>
      </c>
      <c r="B191" s="29" t="s">
        <v>65</v>
      </c>
      <c r="C191" s="29">
        <v>2.5443092619135301</v>
      </c>
    </row>
    <row r="192" spans="1:3" x14ac:dyDescent="0.25">
      <c r="A192" s="29" t="s">
        <v>64</v>
      </c>
      <c r="B192" s="29" t="s">
        <v>66</v>
      </c>
      <c r="C192" s="29">
        <v>1.5993900362364</v>
      </c>
    </row>
    <row r="193" spans="1:3" x14ac:dyDescent="0.25">
      <c r="A193" s="29" t="s">
        <v>64</v>
      </c>
      <c r="B193" s="29" t="s">
        <v>51</v>
      </c>
      <c r="C193" s="29">
        <v>1.8501876971564499</v>
      </c>
    </row>
    <row r="194" spans="1:3" x14ac:dyDescent="0.25">
      <c r="A194" s="29" t="s">
        <v>64</v>
      </c>
      <c r="B194" s="29" t="s">
        <v>67</v>
      </c>
      <c r="C194" s="29">
        <v>1.16293594942448</v>
      </c>
    </row>
    <row r="195" spans="1:3" x14ac:dyDescent="0.25">
      <c r="A195" s="29" t="s">
        <v>64</v>
      </c>
      <c r="B195" s="29" t="s">
        <v>68</v>
      </c>
      <c r="C195" s="29">
        <v>1.3178849732146201</v>
      </c>
    </row>
    <row r="196" spans="1:3" x14ac:dyDescent="0.25">
      <c r="A196" s="29" t="s">
        <v>64</v>
      </c>
      <c r="B196" s="29" t="s">
        <v>52</v>
      </c>
      <c r="C196" s="29">
        <v>1.53895827913755</v>
      </c>
    </row>
    <row r="197" spans="1:3" x14ac:dyDescent="0.25">
      <c r="A197" s="29" t="s">
        <v>65</v>
      </c>
      <c r="B197" s="29" t="s">
        <v>66</v>
      </c>
      <c r="C197" s="29">
        <v>1.21202386682479</v>
      </c>
    </row>
    <row r="198" spans="1:3" x14ac:dyDescent="0.25">
      <c r="A198" s="29" t="s">
        <v>65</v>
      </c>
      <c r="B198" s="29" t="s">
        <v>51</v>
      </c>
      <c r="C198" s="29">
        <v>1.1558636960225299</v>
      </c>
    </row>
    <row r="199" spans="1:3" x14ac:dyDescent="0.25">
      <c r="A199" s="29" t="s">
        <v>65</v>
      </c>
      <c r="B199" s="29" t="s">
        <v>67</v>
      </c>
      <c r="C199" s="29">
        <v>1.1101492502446799</v>
      </c>
    </row>
    <row r="200" spans="1:3" x14ac:dyDescent="0.25">
      <c r="A200" s="29" t="s">
        <v>65</v>
      </c>
      <c r="B200" s="29" t="s">
        <v>68</v>
      </c>
      <c r="C200" s="29">
        <v>1.6288669465977299</v>
      </c>
    </row>
    <row r="201" spans="1:3" x14ac:dyDescent="0.25">
      <c r="A201" s="29" t="s">
        <v>65</v>
      </c>
      <c r="B201" s="29" t="s">
        <v>52</v>
      </c>
      <c r="C201" s="29">
        <v>1.3393709090749999</v>
      </c>
    </row>
    <row r="202" spans="1:3" x14ac:dyDescent="0.25">
      <c r="A202" s="29" t="s">
        <v>66</v>
      </c>
      <c r="B202" s="29" t="s">
        <v>51</v>
      </c>
      <c r="C202" s="29">
        <v>5.1436012592704596</v>
      </c>
    </row>
    <row r="203" spans="1:3" x14ac:dyDescent="0.25">
      <c r="A203" s="29" t="s">
        <v>66</v>
      </c>
      <c r="B203" s="29" t="s">
        <v>67</v>
      </c>
      <c r="C203" s="29">
        <v>4.2031510088930997</v>
      </c>
    </row>
    <row r="204" spans="1:3" x14ac:dyDescent="0.25">
      <c r="A204" s="29" t="s">
        <v>66</v>
      </c>
      <c r="B204" s="29" t="s">
        <v>68</v>
      </c>
      <c r="C204" s="29">
        <v>4.7426607115915003</v>
      </c>
    </row>
    <row r="205" spans="1:3" x14ac:dyDescent="0.25">
      <c r="A205" s="29" t="s">
        <v>66</v>
      </c>
      <c r="B205" s="29" t="s">
        <v>52</v>
      </c>
      <c r="C205" s="29">
        <v>1.9419666398095199</v>
      </c>
    </row>
    <row r="206" spans="1:3" x14ac:dyDescent="0.25">
      <c r="A206" s="29" t="s">
        <v>51</v>
      </c>
      <c r="B206" s="29" t="s">
        <v>67</v>
      </c>
      <c r="C206" s="29">
        <v>4.7163709079805702</v>
      </c>
    </row>
    <row r="207" spans="1:3" x14ac:dyDescent="0.25">
      <c r="A207" s="29" t="s">
        <v>51</v>
      </c>
      <c r="B207" s="29" t="s">
        <v>68</v>
      </c>
      <c r="C207" s="29">
        <v>3.9485094241681802</v>
      </c>
    </row>
    <row r="208" spans="1:3" x14ac:dyDescent="0.25">
      <c r="A208" s="29" t="s">
        <v>51</v>
      </c>
      <c r="B208" s="29" t="s">
        <v>52</v>
      </c>
      <c r="C208" s="29">
        <v>2.2582926848122198</v>
      </c>
    </row>
    <row r="209" spans="1:3" x14ac:dyDescent="0.25">
      <c r="A209" s="29" t="s">
        <v>67</v>
      </c>
      <c r="B209" s="29" t="s">
        <v>68</v>
      </c>
      <c r="C209" s="29">
        <v>5.5946386844036304</v>
      </c>
    </row>
    <row r="210" spans="1:3" x14ac:dyDescent="0.25">
      <c r="A210" s="29" t="s">
        <v>67</v>
      </c>
      <c r="B210" s="29" t="s">
        <v>52</v>
      </c>
      <c r="C210" s="29">
        <v>2.4183524258417299</v>
      </c>
    </row>
    <row r="211" spans="1:3" x14ac:dyDescent="0.25">
      <c r="A211" s="29" t="s">
        <v>68</v>
      </c>
      <c r="B211" s="29" t="s">
        <v>52</v>
      </c>
      <c r="C211" s="29">
        <v>1.51904949974329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QOF_PREV</vt:lpstr>
      <vt:lpstr>POPN</vt:lpstr>
      <vt:lpstr>GROWTH</vt:lpstr>
      <vt:lpstr>COND</vt:lpstr>
      <vt:lpstr>PREV</vt:lpstr>
      <vt:lpstr>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Blackwell</dc:creator>
  <cp:lastModifiedBy>Richard Blackwell</cp:lastModifiedBy>
  <dcterms:created xsi:type="dcterms:W3CDTF">2026-05-07T14:03:18Z</dcterms:created>
  <dcterms:modified xsi:type="dcterms:W3CDTF">2026-06-08T08:40:00Z</dcterms:modified>
</cp:coreProperties>
</file>